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maisinternet.sharepoint.com/sites/TI357/Documentos Compartilhados/Controle Patrimonio TI/"/>
    </mc:Choice>
  </mc:AlternateContent>
  <xr:revisionPtr revIDLastSave="10553" documentId="13_ncr:1_{3CED84AB-44D6-49B6-98D8-B32EAC12693E}" xr6:coauthVersionLast="47" xr6:coauthVersionMax="47" xr10:uidLastSave="{75EF9B56-5C92-45AE-80CA-CE3185A6B56F}"/>
  <bookViews>
    <workbookView xWindow="-120" yWindow="-120" windowWidth="29040" windowHeight="15840" firstSheet="4" activeTab="4" xr2:uid="{DBE2F78A-CB30-4AAE-A3DF-8240A7BFB2F9}"/>
  </bookViews>
  <sheets>
    <sheet name="Menu" sheetId="1" r:id="rId1"/>
    <sheet name="Funcionários" sheetId="4" r:id="rId2"/>
    <sheet name="Entregues por Função" sheetId="11" r:id="rId3"/>
    <sheet name="Setor" sheetId="5" r:id="rId4"/>
    <sheet name="Equipamentos" sheetId="3" r:id="rId5"/>
    <sheet name="Sinistros de Equipamentos" sheetId="7" r:id="rId6"/>
    <sheet name="Insumos" sheetId="6" r:id="rId7"/>
    <sheet name="Controle de Equipamentos Entreg" sheetId="10" r:id="rId8"/>
    <sheet name="Insumos disponiveis" sheetId="9" r:id="rId9"/>
  </sheets>
  <definedNames>
    <definedName name="_xlnm._FilterDatabase" localSheetId="4" hidden="1">Equipamentos!$H$266:$H$266</definedName>
    <definedName name="_xlnm._FilterDatabase" localSheetId="1" hidden="1">Funcionários!$A$4:$A$4</definedName>
    <definedName name="Funcionarios" localSheetId="8">Tabela10[]</definedName>
    <definedName name="Funcionarios" localSheetId="7">Tabela10[]</definedName>
    <definedName name="Funcionarios">Tabela10[]</definedName>
    <definedName name="Setores">Setor!#REF!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8" i="3" l="1"/>
  <c r="E268" i="3"/>
  <c r="F178" i="3"/>
  <c r="E178" i="3"/>
  <c r="F96" i="3"/>
  <c r="E96" i="3"/>
  <c r="E97" i="3"/>
  <c r="F108" i="3"/>
  <c r="E108" i="3"/>
  <c r="C154" i="4"/>
  <c r="C153" i="4"/>
  <c r="C152" i="4"/>
  <c r="F60" i="3"/>
  <c r="E60" i="3"/>
  <c r="F89" i="3"/>
  <c r="E89" i="3"/>
  <c r="F160" i="3"/>
  <c r="E160" i="3"/>
  <c r="F267" i="3"/>
  <c r="E267" i="3"/>
  <c r="E198" i="3"/>
  <c r="F8" i="3"/>
  <c r="F205" i="3"/>
  <c r="E205" i="3"/>
  <c r="E8" i="3"/>
  <c r="C151" i="4"/>
  <c r="C150" i="4"/>
  <c r="F64" i="3"/>
  <c r="E64" i="3"/>
  <c r="C149" i="4"/>
  <c r="F259" i="3"/>
  <c r="E259" i="3"/>
  <c r="E121" i="3"/>
  <c r="F92" i="3"/>
  <c r="F10" i="3"/>
  <c r="E10" i="3"/>
  <c r="F119" i="3"/>
  <c r="E119" i="3"/>
  <c r="F161" i="3"/>
  <c r="E161" i="3"/>
  <c r="F162" i="3"/>
  <c r="E162" i="3"/>
  <c r="F168" i="3"/>
  <c r="E168" i="3"/>
  <c r="F43" i="3"/>
  <c r="E43" i="3"/>
  <c r="E55" i="3"/>
  <c r="C148" i="4"/>
  <c r="F58" i="3"/>
  <c r="E58" i="3"/>
  <c r="F266" i="3"/>
  <c r="E266" i="3"/>
  <c r="E265" i="3"/>
  <c r="F265" i="3"/>
  <c r="F264" i="3"/>
  <c r="E264" i="3"/>
  <c r="E49" i="3"/>
  <c r="F213" i="3"/>
  <c r="E213" i="3"/>
  <c r="E47" i="3"/>
  <c r="F112" i="3"/>
  <c r="E112" i="3"/>
  <c r="E113" i="3"/>
  <c r="F165" i="3"/>
  <c r="E165" i="3"/>
  <c r="F263" i="3"/>
  <c r="E263" i="3"/>
  <c r="C147" i="4"/>
  <c r="C145" i="4"/>
  <c r="C146" i="4"/>
  <c r="E262" i="3"/>
  <c r="F262" i="3"/>
  <c r="F113" i="3"/>
  <c r="C144" i="4"/>
  <c r="C143" i="4"/>
  <c r="C142" i="4"/>
  <c r="C141" i="4"/>
  <c r="C138" i="4"/>
  <c r="C140" i="4"/>
  <c r="E79" i="3"/>
  <c r="F261" i="3"/>
  <c r="F172" i="3"/>
  <c r="E90" i="3"/>
  <c r="C137" i="4"/>
  <c r="C136" i="4"/>
  <c r="C139" i="4"/>
  <c r="C133" i="4"/>
  <c r="D136" i="4"/>
  <c r="F223" i="3"/>
  <c r="E223" i="3"/>
  <c r="E242" i="3"/>
  <c r="F186" i="3"/>
  <c r="E186" i="3"/>
  <c r="E185" i="3"/>
  <c r="E167" i="3"/>
  <c r="F135" i="3"/>
  <c r="E135" i="3"/>
  <c r="F65" i="3"/>
  <c r="E65" i="3"/>
  <c r="E67" i="3"/>
  <c r="E184" i="3"/>
  <c r="C135" i="4"/>
  <c r="F183" i="3"/>
  <c r="E183" i="3"/>
  <c r="E98" i="3"/>
  <c r="E11" i="3"/>
  <c r="E171" i="3"/>
  <c r="E170" i="3"/>
  <c r="C134" i="4"/>
  <c r="C132" i="4"/>
  <c r="C131" i="4"/>
  <c r="C130" i="4"/>
  <c r="C125" i="4"/>
  <c r="E122" i="3"/>
  <c r="E107" i="3"/>
  <c r="C129" i="4"/>
  <c r="E85" i="3"/>
  <c r="E84" i="3"/>
  <c r="C128" i="4"/>
  <c r="E173" i="3"/>
  <c r="E203" i="3"/>
  <c r="E153" i="3"/>
  <c r="E188" i="3"/>
  <c r="E155" i="3"/>
  <c r="F55" i="3"/>
  <c r="C127" i="4"/>
  <c r="F49" i="3"/>
  <c r="E48" i="3"/>
  <c r="E149" i="3"/>
  <c r="E95" i="3"/>
  <c r="E82" i="3"/>
  <c r="E29" i="3"/>
  <c r="E30" i="3"/>
  <c r="E38" i="3"/>
  <c r="F6" i="3"/>
  <c r="F7" i="3"/>
  <c r="E6" i="3"/>
  <c r="E7" i="3"/>
  <c r="F123" i="3"/>
  <c r="E123" i="3"/>
  <c r="E124" i="3"/>
  <c r="C126" i="4"/>
  <c r="E53" i="3"/>
  <c r="E54" i="3"/>
  <c r="E27" i="3"/>
  <c r="E26" i="3"/>
  <c r="E150" i="3"/>
  <c r="E51" i="3"/>
  <c r="E36" i="3"/>
  <c r="E5" i="3"/>
  <c r="E103" i="3"/>
  <c r="C7" i="4"/>
  <c r="E219" i="3"/>
  <c r="E114" i="3"/>
  <c r="E52" i="3"/>
  <c r="E77" i="3"/>
  <c r="E42" i="3"/>
  <c r="F198" i="3"/>
  <c r="C122" i="4"/>
  <c r="F38" i="3" s="1"/>
  <c r="C121" i="4"/>
  <c r="E179" i="3"/>
  <c r="E220" i="3"/>
  <c r="E92" i="3"/>
  <c r="F73" i="3"/>
  <c r="F57" i="3"/>
  <c r="C123" i="4"/>
  <c r="E88" i="3"/>
  <c r="C120" i="4"/>
  <c r="F51" i="3" s="1"/>
  <c r="F144" i="3"/>
  <c r="E144" i="3"/>
  <c r="C118" i="4"/>
  <c r="C119" i="4"/>
  <c r="C113" i="4"/>
  <c r="F107" i="3"/>
  <c r="C117" i="4"/>
  <c r="C116" i="4"/>
  <c r="C114" i="4"/>
  <c r="C115" i="4"/>
  <c r="F150" i="3"/>
  <c r="E221" i="3"/>
  <c r="F104" i="3"/>
  <c r="E104" i="3"/>
  <c r="E172" i="3"/>
  <c r="F88" i="3"/>
  <c r="C112" i="4"/>
  <c r="E126" i="3"/>
  <c r="C111" i="4"/>
  <c r="C110" i="4"/>
  <c r="F175" i="3"/>
  <c r="E175" i="3"/>
  <c r="C109" i="4"/>
  <c r="F177" i="3"/>
  <c r="E177" i="3"/>
  <c r="E182" i="3"/>
  <c r="F182" i="3"/>
  <c r="C108" i="4"/>
  <c r="C106" i="4"/>
  <c r="F139" i="3"/>
  <c r="C107" i="4"/>
  <c r="F63" i="3"/>
  <c r="E63" i="3"/>
  <c r="E61" i="3"/>
  <c r="E39" i="3"/>
  <c r="C104" i="4"/>
  <c r="F114" i="3" s="1"/>
  <c r="C105" i="4"/>
  <c r="C103" i="4"/>
  <c r="F140" i="3"/>
  <c r="E140" i="3"/>
  <c r="C102" i="4"/>
  <c r="C101" i="4"/>
  <c r="F81" i="3"/>
  <c r="E81" i="3"/>
  <c r="B17" i="9"/>
  <c r="B23" i="9"/>
  <c r="B27" i="9"/>
  <c r="B11" i="9"/>
  <c r="B7" i="9"/>
  <c r="C100" i="4"/>
  <c r="C25" i="4"/>
  <c r="C99" i="4"/>
  <c r="C88" i="4"/>
  <c r="C98" i="4"/>
  <c r="F106" i="3"/>
  <c r="E106" i="3"/>
  <c r="F30" i="3"/>
  <c r="F28" i="3"/>
  <c r="E28" i="3"/>
  <c r="F78" i="3"/>
  <c r="E78" i="3"/>
  <c r="C94" i="4"/>
  <c r="E131" i="3"/>
  <c r="F26" i="3"/>
  <c r="F27" i="3"/>
  <c r="F25" i="3"/>
  <c r="E15" i="3"/>
  <c r="C97" i="4"/>
  <c r="C96" i="4"/>
  <c r="C24" i="4"/>
  <c r="F153" i="3" s="1"/>
  <c r="C78" i="4"/>
  <c r="E101" i="3"/>
  <c r="C16" i="4"/>
  <c r="C41" i="4"/>
  <c r="F101" i="3" s="1"/>
  <c r="C40" i="4"/>
  <c r="E91" i="3"/>
  <c r="C55" i="4"/>
  <c r="C54" i="4"/>
  <c r="C72" i="4"/>
  <c r="C52" i="4"/>
  <c r="F171" i="3" s="1"/>
  <c r="E102" i="3"/>
  <c r="F151" i="3"/>
  <c r="E151" i="3"/>
  <c r="E41" i="3"/>
  <c r="E117" i="3"/>
  <c r="E202" i="3"/>
  <c r="E180" i="3"/>
  <c r="F115" i="3"/>
  <c r="E115" i="3"/>
  <c r="C56" i="4"/>
  <c r="E218" i="3"/>
  <c r="C64" i="4"/>
  <c r="F111" i="3"/>
  <c r="E111" i="3"/>
  <c r="E201" i="3"/>
  <c r="C75" i="4"/>
  <c r="F201" i="3" s="1"/>
  <c r="C95" i="4"/>
  <c r="C91" i="4"/>
  <c r="E224" i="3"/>
  <c r="C92" i="4"/>
  <c r="E226" i="3"/>
  <c r="C93" i="4"/>
  <c r="E80" i="3"/>
  <c r="E169" i="3"/>
  <c r="F80" i="3"/>
  <c r="C22" i="4"/>
  <c r="C48" i="4"/>
  <c r="E46" i="3"/>
  <c r="C73" i="4"/>
  <c r="E246" i="3"/>
  <c r="C20" i="4"/>
  <c r="C42" i="4"/>
  <c r="C90" i="4"/>
  <c r="C84" i="4"/>
  <c r="C43" i="4"/>
  <c r="E76" i="3"/>
  <c r="E194" i="3"/>
  <c r="E206" i="3"/>
  <c r="E74" i="3"/>
  <c r="E94" i="3"/>
  <c r="C89" i="4"/>
  <c r="C68" i="4"/>
  <c r="C87" i="4"/>
  <c r="C86" i="4"/>
  <c r="C85" i="4"/>
  <c r="F14" i="3"/>
  <c r="E14" i="3"/>
  <c r="E197" i="3"/>
  <c r="E163" i="3"/>
  <c r="F197" i="3"/>
  <c r="F158" i="3"/>
  <c r="F159" i="3"/>
  <c r="E159" i="3"/>
  <c r="C23" i="4"/>
  <c r="E192" i="3"/>
  <c r="E156" i="3"/>
  <c r="C6" i="6"/>
  <c r="E116" i="3"/>
  <c r="C65" i="4"/>
  <c r="E100" i="3"/>
  <c r="C36" i="6"/>
  <c r="E31" i="3"/>
  <c r="F31" i="3"/>
  <c r="C80" i="4"/>
  <c r="C30" i="4"/>
  <c r="E118" i="3"/>
  <c r="E87" i="3"/>
  <c r="E62" i="3"/>
  <c r="C62" i="4"/>
  <c r="C53" i="4"/>
  <c r="E207" i="3"/>
  <c r="E208" i="3"/>
  <c r="C33" i="4"/>
  <c r="E129" i="3"/>
  <c r="C61" i="4"/>
  <c r="F194" i="3" s="1"/>
  <c r="C67" i="4"/>
  <c r="E200" i="3"/>
  <c r="E210" i="3"/>
  <c r="C8" i="4"/>
  <c r="C46" i="4"/>
  <c r="E211" i="3"/>
  <c r="C57" i="4"/>
  <c r="F94" i="3" s="1"/>
  <c r="C74" i="4"/>
  <c r="C63" i="4"/>
  <c r="F5" i="3"/>
  <c r="E204" i="3"/>
  <c r="F37" i="3"/>
  <c r="E37" i="3"/>
  <c r="C96" i="6"/>
  <c r="C18" i="4"/>
  <c r="F141" i="3"/>
  <c r="E141" i="3"/>
  <c r="E148" i="3"/>
  <c r="F156" i="3"/>
  <c r="C82" i="4"/>
  <c r="C36" i="4"/>
  <c r="E127" i="3"/>
  <c r="E93" i="3"/>
  <c r="C34" i="4"/>
  <c r="E40" i="3"/>
  <c r="E191" i="3"/>
  <c r="C58" i="4"/>
  <c r="E164" i="3"/>
  <c r="C79" i="6"/>
  <c r="C27" i="4"/>
  <c r="F105" i="3" s="1"/>
  <c r="D22" i="6"/>
  <c r="C22" i="6"/>
  <c r="D16" i="6"/>
  <c r="C16" i="6"/>
  <c r="C23" i="6"/>
  <c r="E190" i="3"/>
  <c r="E199" i="3"/>
  <c r="C37" i="4"/>
  <c r="F127" i="3" s="1"/>
  <c r="D70" i="6"/>
  <c r="C70" i="6"/>
  <c r="E216" i="3"/>
  <c r="C70" i="4"/>
  <c r="C7" i="6"/>
  <c r="C60" i="4"/>
  <c r="D74" i="6"/>
  <c r="C74" i="6"/>
  <c r="C32" i="6"/>
  <c r="C33" i="6"/>
  <c r="C35" i="6"/>
  <c r="C37" i="6"/>
  <c r="C34" i="6"/>
  <c r="C56" i="6"/>
  <c r="D57" i="6"/>
  <c r="C57" i="6"/>
  <c r="C50" i="6"/>
  <c r="D49" i="6"/>
  <c r="C49" i="6"/>
  <c r="C93" i="6"/>
  <c r="D94" i="6"/>
  <c r="C94" i="6"/>
  <c r="D47" i="6"/>
  <c r="C47" i="6"/>
  <c r="C86" i="6"/>
  <c r="C85" i="6"/>
  <c r="C84" i="6"/>
  <c r="C90" i="6"/>
  <c r="C89" i="6"/>
  <c r="C45" i="6"/>
  <c r="C28" i="6"/>
  <c r="C91" i="6"/>
  <c r="D80" i="6"/>
  <c r="C80" i="6"/>
  <c r="D81" i="6"/>
  <c r="C81" i="6"/>
  <c r="D78" i="6"/>
  <c r="C78" i="6"/>
  <c r="D77" i="6"/>
  <c r="C77" i="6"/>
  <c r="D76" i="6"/>
  <c r="C76" i="6"/>
  <c r="C75" i="6"/>
  <c r="C83" i="6"/>
  <c r="C73" i="6"/>
  <c r="C71" i="6"/>
  <c r="C92" i="6"/>
  <c r="C88" i="6"/>
  <c r="C54" i="6"/>
  <c r="C41" i="6"/>
  <c r="C48" i="6"/>
  <c r="C51" i="6"/>
  <c r="E166" i="3"/>
  <c r="C38" i="4"/>
  <c r="C66" i="4"/>
  <c r="C27" i="6"/>
  <c r="F11" i="3"/>
  <c r="D46" i="6"/>
  <c r="C46" i="6"/>
  <c r="C21" i="6"/>
  <c r="C53" i="6"/>
  <c r="C47" i="4"/>
  <c r="C59" i="6"/>
  <c r="C60" i="6"/>
  <c r="C55" i="6"/>
  <c r="C58" i="6"/>
  <c r="D43" i="6"/>
  <c r="C43" i="6"/>
  <c r="E195" i="3"/>
  <c r="D53" i="6"/>
  <c r="C42" i="6"/>
  <c r="C76" i="4"/>
  <c r="F180" i="3" s="1"/>
  <c r="C50" i="4"/>
  <c r="F207" i="3" s="1"/>
  <c r="C71" i="4"/>
  <c r="D28" i="6"/>
  <c r="C59" i="4"/>
  <c r="C31" i="6"/>
  <c r="C30" i="6"/>
  <c r="C29" i="6"/>
  <c r="C18" i="6"/>
  <c r="C51" i="4"/>
  <c r="C39" i="4"/>
  <c r="C26" i="6"/>
  <c r="D25" i="6"/>
  <c r="D14" i="6"/>
  <c r="C25" i="6"/>
  <c r="C14" i="6"/>
  <c r="C81" i="4"/>
  <c r="C83" i="4"/>
  <c r="E158" i="3"/>
  <c r="C31" i="4"/>
  <c r="F53" i="3" s="1"/>
  <c r="D20" i="6"/>
  <c r="D15" i="6"/>
  <c r="D19" i="6"/>
  <c r="C19" i="6"/>
  <c r="D18" i="6"/>
  <c r="D17" i="6"/>
  <c r="C17" i="6"/>
  <c r="C12" i="6"/>
  <c r="C15" i="6"/>
  <c r="D12" i="6"/>
  <c r="D11" i="6"/>
  <c r="D8" i="6"/>
  <c r="C11" i="6"/>
  <c r="C8" i="6"/>
  <c r="D9" i="6"/>
  <c r="C9" i="6"/>
  <c r="F193" i="3"/>
  <c r="F192" i="3"/>
  <c r="E152" i="3"/>
  <c r="C12" i="4"/>
  <c r="F52" i="3" s="1"/>
  <c r="C35" i="4"/>
  <c r="F102" i="3" s="1"/>
  <c r="F59" i="3"/>
  <c r="E59" i="3"/>
  <c r="F132" i="3"/>
  <c r="D84" i="6"/>
  <c r="C69" i="4"/>
  <c r="F185" i="3" s="1"/>
  <c r="F36" i="3"/>
  <c r="C9" i="4"/>
  <c r="F54" i="3" s="1"/>
  <c r="C19" i="4"/>
  <c r="C13" i="4"/>
  <c r="F103" i="3" s="1"/>
  <c r="C45" i="4"/>
  <c r="F184" i="3" s="1"/>
  <c r="C44" i="4"/>
  <c r="C32" i="4"/>
  <c r="F166" i="3" s="1"/>
  <c r="C17" i="4"/>
  <c r="F87" i="3" s="1"/>
  <c r="C15" i="4"/>
  <c r="C14" i="4"/>
  <c r="D91" i="6" s="1"/>
  <c r="C10" i="4"/>
  <c r="C6" i="4"/>
  <c r="C5" i="4"/>
  <c r="F188" i="3" l="1"/>
  <c r="F195" i="3"/>
  <c r="F79" i="3"/>
  <c r="F122" i="3"/>
  <c r="F82" i="3"/>
  <c r="F155" i="3"/>
  <c r="F72" i="3"/>
  <c r="F47" i="3"/>
  <c r="F85" i="3"/>
  <c r="F169" i="3"/>
  <c r="F216" i="3"/>
  <c r="F77" i="3"/>
  <c r="F42" i="3"/>
  <c r="F219" i="3"/>
  <c r="F218" i="3"/>
  <c r="F118" i="3"/>
  <c r="F39" i="3"/>
  <c r="F61" i="3"/>
  <c r="F131" i="3"/>
  <c r="F202" i="3"/>
  <c r="F163" i="3"/>
  <c r="F15" i="3"/>
  <c r="F224" i="3"/>
  <c r="F91" i="3"/>
  <c r="F148" i="3"/>
  <c r="F41" i="3"/>
  <c r="F117" i="3"/>
  <c r="F121" i="3"/>
  <c r="F226" i="3"/>
  <c r="F203" i="3"/>
  <c r="F246" i="3"/>
  <c r="F170" i="3"/>
  <c r="F46" i="3"/>
  <c r="F242" i="3"/>
  <c r="F98" i="3"/>
  <c r="F67" i="3"/>
  <c r="F74" i="3"/>
  <c r="F116" i="3"/>
  <c r="F206" i="3"/>
  <c r="F95" i="3"/>
  <c r="F84" i="3"/>
  <c r="F221" i="3"/>
  <c r="D6" i="6"/>
  <c r="F76" i="3"/>
  <c r="F97" i="3"/>
  <c r="D89" i="6"/>
  <c r="F48" i="3"/>
  <c r="F100" i="3"/>
  <c r="F149" i="3"/>
  <c r="F62" i="3"/>
  <c r="F129" i="3"/>
  <c r="F124" i="3"/>
  <c r="F208" i="3"/>
  <c r="F90" i="3"/>
  <c r="F200" i="3"/>
  <c r="F210" i="3"/>
  <c r="D79" i="6"/>
  <c r="F211" i="3"/>
  <c r="F204" i="3"/>
  <c r="F93" i="3"/>
  <c r="D96" i="6"/>
  <c r="F164" i="3"/>
  <c r="F173" i="3"/>
  <c r="F190" i="3"/>
  <c r="F56" i="3"/>
  <c r="D59" i="6"/>
  <c r="D75" i="6"/>
  <c r="D45" i="6"/>
  <c r="D23" i="6"/>
  <c r="D37" i="6"/>
  <c r="F40" i="3"/>
  <c r="F191" i="3"/>
  <c r="D33" i="6"/>
  <c r="D32" i="6"/>
  <c r="D35" i="6"/>
  <c r="D7" i="6"/>
  <c r="D93" i="6"/>
  <c r="D56" i="6"/>
  <c r="D50" i="6"/>
  <c r="D86" i="6"/>
  <c r="D85" i="6"/>
  <c r="D90" i="6"/>
  <c r="F167" i="3"/>
  <c r="D73" i="6"/>
  <c r="D92" i="6"/>
  <c r="D71" i="6"/>
  <c r="D88" i="6"/>
  <c r="D83" i="6"/>
  <c r="D27" i="6"/>
  <c r="D51" i="6"/>
  <c r="D54" i="6"/>
  <c r="D55" i="6"/>
  <c r="D21" i="6"/>
  <c r="D41" i="6"/>
  <c r="D48" i="6"/>
  <c r="F199" i="3"/>
  <c r="D58" i="6"/>
  <c r="D60" i="6"/>
  <c r="D42" i="6"/>
  <c r="D31" i="6"/>
  <c r="D30" i="6"/>
  <c r="D26" i="6"/>
  <c r="D29" i="6"/>
</calcChain>
</file>

<file path=xl/sharedStrings.xml><?xml version="1.0" encoding="utf-8"?>
<sst xmlns="http://schemas.openxmlformats.org/spreadsheetml/2006/main" count="2132" uniqueCount="888">
  <si>
    <t>Funcionários</t>
  </si>
  <si>
    <t>Setor</t>
  </si>
  <si>
    <t>JOÃO BUTZKE</t>
  </si>
  <si>
    <t>FELIPE FOLSTER</t>
  </si>
  <si>
    <t>GUILHERME VASCONCELLOS BARDALHO</t>
  </si>
  <si>
    <t>MANOEL IAGO SOUZA DOS SANTOS</t>
  </si>
  <si>
    <t>LUIZA CUNHA SENA</t>
  </si>
  <si>
    <t>VINICIUS COELHO</t>
  </si>
  <si>
    <t>ISRAEL FELIX</t>
  </si>
  <si>
    <t>MARKETING</t>
  </si>
  <si>
    <t>CAIO EDUARDO SIQUEIRA DA SILVA</t>
  </si>
  <si>
    <t>JAKSON WEINGARTNER</t>
  </si>
  <si>
    <t>SAMUEL RIBEIRO</t>
  </si>
  <si>
    <t>EDILAINE ANTUNES</t>
  </si>
  <si>
    <t>ANA CARLA DA ROSA GODINHO</t>
  </si>
  <si>
    <t>LARISSA MAY BACK</t>
  </si>
  <si>
    <t>LUANA BORGES BATISTA</t>
  </si>
  <si>
    <t>GRAZIELLY MACEDO</t>
  </si>
  <si>
    <t>LUCAS MOURA DA SILVA</t>
  </si>
  <si>
    <t>MILENE CRISTINA DA SILVA</t>
  </si>
  <si>
    <t>FINANCEIRO</t>
  </si>
  <si>
    <t>AMANDA ISSLER NERY</t>
  </si>
  <si>
    <t>CLEYLSON DA SILVA PIMENTEL</t>
  </si>
  <si>
    <t>VITOR ADRIANO COELHO</t>
  </si>
  <si>
    <t>MIHAY FERREIRA</t>
  </si>
  <si>
    <t>JULIO CESAR DA SILVA</t>
  </si>
  <si>
    <t>COMERCIAL</t>
  </si>
  <si>
    <t>TAIS PAIM</t>
  </si>
  <si>
    <t>VANDERLEI MANENTTI SCOTT</t>
  </si>
  <si>
    <t>CTO</t>
  </si>
  <si>
    <t>EVERSON KLEBER MAI</t>
  </si>
  <si>
    <t>CEO</t>
  </si>
  <si>
    <t>CAROLINE FOGAÇA DA ROCHA</t>
  </si>
  <si>
    <t>LETICIA EMANUELE DE OLIVEIRA</t>
  </si>
  <si>
    <t>ANTONIO JOAO MARCELINO</t>
  </si>
  <si>
    <t>ALCIDES DOS SANTOS</t>
  </si>
  <si>
    <t>CAUAN SILVA DOS SANTOS</t>
  </si>
  <si>
    <t>WILLIAN RIBEIRO DE SOUZA</t>
  </si>
  <si>
    <t>AMANDA NEVES DE BARROS</t>
  </si>
  <si>
    <t>ANA CAROLINA ALVES DAS CHAGAS</t>
  </si>
  <si>
    <t>MARIANI PIERRI</t>
  </si>
  <si>
    <t>EDUARDO OLIVEIRA</t>
  </si>
  <si>
    <t>ANA LUIZA MATTIA DE LIMA</t>
  </si>
  <si>
    <t>KLEBER COELHO</t>
  </si>
  <si>
    <t>BIANCA OTON GOMES DA SILVA</t>
  </si>
  <si>
    <t>NICOLLY SANTIAGO</t>
  </si>
  <si>
    <t>DAVI APPELT DE SÁ SARTORI</t>
  </si>
  <si>
    <t>BRUNO RICARDO CAMPOS</t>
  </si>
  <si>
    <t>DEBORA REGINA CHAVES</t>
  </si>
  <si>
    <t>MANUELLA GUIMARÃES</t>
  </si>
  <si>
    <t>EDSON GOMES DA SILVA FILHO</t>
  </si>
  <si>
    <t>EDUARDA VIEIRA</t>
  </si>
  <si>
    <t>RELACIONAMENTO COM O CLIENTE</t>
  </si>
  <si>
    <t>FELLIPE GARCIA</t>
  </si>
  <si>
    <t>ARTHUR DELCASTANHEL DA SILVA</t>
  </si>
  <si>
    <t>FERNANDA SILVA CONRADO</t>
  </si>
  <si>
    <t>FILIPE EDUARDO DE MEDEIROS</t>
  </si>
  <si>
    <t>GABRIEL DA SILVA DIAS</t>
  </si>
  <si>
    <t>LUIS GABRIEL RIBEIRO ARIAS</t>
  </si>
  <si>
    <t>FREDERICK ARLLYNSON DOS SANTOS</t>
  </si>
  <si>
    <t>HUGO QUARESMA SOUZA</t>
  </si>
  <si>
    <t>JOAO VITOR DE SOUZA</t>
  </si>
  <si>
    <t>JULIO CESAR COUSSEAU DOS SANTOS</t>
  </si>
  <si>
    <t>JULIO CESAR DA SILVA AGOSTINHO</t>
  </si>
  <si>
    <t>LETICIA DA SILVA FERRAZ</t>
  </si>
  <si>
    <t>MARCOS VINICIUS SOARES MELO</t>
  </si>
  <si>
    <t>MARLUCIA DA SILVA</t>
  </si>
  <si>
    <t>JAQUELINE FREITAS JACQUES</t>
  </si>
  <si>
    <t>MORGANE CRISTINA RIBEIRO</t>
  </si>
  <si>
    <t>NILTON LUZ LEITE FERREIRA</t>
  </si>
  <si>
    <t>RICARDO SOARES</t>
  </si>
  <si>
    <t>JONIEL CORREA DA SILVA</t>
  </si>
  <si>
    <t>PABLO ANTONY DE LIMA</t>
  </si>
  <si>
    <t>RONALD VIEIRA DE OLIVEIRA</t>
  </si>
  <si>
    <t>SAYMO WESLEY ALVES DE AMARAL</t>
  </si>
  <si>
    <t>TAINARA COELHO</t>
  </si>
  <si>
    <t>VINICIUS CARVALHO MANES</t>
  </si>
  <si>
    <t>WELITON CUSTODIO</t>
  </si>
  <si>
    <t>RUTH MARTINS</t>
  </si>
  <si>
    <t>BRUNA FERNANDES MAI</t>
  </si>
  <si>
    <t>CFO</t>
  </si>
  <si>
    <t>VINICIUS PLETICOS</t>
  </si>
  <si>
    <t>EDEVANDRO BOGISCH</t>
  </si>
  <si>
    <t>EQUIPE TÉCNICA</t>
  </si>
  <si>
    <t>MARCOS AURELIO SPINOSA</t>
  </si>
  <si>
    <t>EVERTON LUIZ BRUM FERREIRA</t>
  </si>
  <si>
    <t>ANDERSON INGLES CABRAL DA SILVEIRA</t>
  </si>
  <si>
    <t>RAKELI VIEIRA</t>
  </si>
  <si>
    <t>JÚNIOR PINHEIRO</t>
  </si>
  <si>
    <t>JOÃO VICTOR BARCELLOS</t>
  </si>
  <si>
    <t>FERNANDO SOARES FERREIRA</t>
  </si>
  <si>
    <t>FLAVIO LUIZ RIBEIRO DA SILVA</t>
  </si>
  <si>
    <t>FRANK GONÇALVES</t>
  </si>
  <si>
    <t>VITOR PEREIRA DOS SANTOS</t>
  </si>
  <si>
    <t>BRUNO MOREIRA</t>
  </si>
  <si>
    <t>CONCEIÇÃO DE MARIA ALMEIDA SOARES CRUZ</t>
  </si>
  <si>
    <t>DAYANE SOARES PEREIRA</t>
  </si>
  <si>
    <t>FAGNER GUSTAVO TOLEDO PEDROZO</t>
  </si>
  <si>
    <t>EDSON GOMES DA SILVA FILHA</t>
  </si>
  <si>
    <t>GERLYANE DA SILVA DUARTE</t>
  </si>
  <si>
    <t>ENDREW SANTOS</t>
  </si>
  <si>
    <t>EMANUELA LEHMKUHL</t>
  </si>
  <si>
    <t>CARLOS ALBERTO BASTOS JUNIOR</t>
  </si>
  <si>
    <t>DIANA TEIXEIRA</t>
  </si>
  <si>
    <t>TAINA TEIXEIRA DE FREITAS</t>
  </si>
  <si>
    <t>ERICK SILVA LOURENÇO</t>
  </si>
  <si>
    <t>MARIANA MURTINHO</t>
  </si>
  <si>
    <t>MATHEUS EUGÊNIO DA SILVA</t>
  </si>
  <si>
    <t>ANDERSON CARVALHO MADEIRA</t>
  </si>
  <si>
    <t>VINICIUS MACHADO DAMASIO</t>
  </si>
  <si>
    <t>KALEO ALEXSANDER</t>
  </si>
  <si>
    <t>ERICKE HENRIQUE DOS SANTOS</t>
  </si>
  <si>
    <t>ELAN SCHINADER</t>
  </si>
  <si>
    <t>JOÃO MARCELO LOSTADA</t>
  </si>
  <si>
    <t>BRUNO CESAR CORDEIRO</t>
  </si>
  <si>
    <t>VAGNER DO NASCIMENTO GIVIGI</t>
  </si>
  <si>
    <t>PAOLO ARRUÉ DE MELO</t>
  </si>
  <si>
    <t>DIEGO RIBEIRO</t>
  </si>
  <si>
    <t>DAVI MACHADO COELHO</t>
  </si>
  <si>
    <t>GABRIEL BIGNOTTI</t>
  </si>
  <si>
    <t>VINICIUS LINHAR</t>
  </si>
  <si>
    <t>DAVI JOÃO DA SILVA</t>
  </si>
  <si>
    <t>BRUNO OSMARINO DE SOUZA</t>
  </si>
  <si>
    <t>JOÃO VICTOR MUNIZ DA SILVA</t>
  </si>
  <si>
    <t>TASSIA MELO POUCHAIN</t>
  </si>
  <si>
    <t>TATIANE BORGES DE RESENDE</t>
  </si>
  <si>
    <t>CAUÃ FERNANDES CLAUDINO</t>
  </si>
  <si>
    <t>LUCAS REKSHAUSE</t>
  </si>
  <si>
    <t>WILIAN DE ANDRADE GOGGIA</t>
  </si>
  <si>
    <t>HAKEEN</t>
  </si>
  <si>
    <t>GABRIEL LOPES GONÇALVES</t>
  </si>
  <si>
    <t>JULIANA MACHADO MARTINHO</t>
  </si>
  <si>
    <t>GABRIEL RODRIGUES ANTUNES</t>
  </si>
  <si>
    <t>DENILSON FERRAZ</t>
  </si>
  <si>
    <t>ARION CARRION DE LIMA DE ALMEIDA</t>
  </si>
  <si>
    <t>FABRICIO WILBERT</t>
  </si>
  <si>
    <t>LUIZ HENRIQUE LOPES</t>
  </si>
  <si>
    <t>MONIQUE SARA DOS SANTOS LOPES</t>
  </si>
  <si>
    <t>PATRICIA EDUARDA RIBEIRO PAZ</t>
  </si>
  <si>
    <t>EVILIN VITORIA DA SILVA RAMOS</t>
  </si>
  <si>
    <t>ISABELLE FERREIRA BELTRAME</t>
  </si>
  <si>
    <t xml:space="preserve"> MURYEL DA SILVA MOREIRA DIAS</t>
  </si>
  <si>
    <t>ARIANA SOUZA DOS SANTOS</t>
  </si>
  <si>
    <t>MURILLO FERREIRA MARTINS</t>
  </si>
  <si>
    <t>PEDRO HENRIQUE ASSIS SILVA</t>
  </si>
  <si>
    <t>MARIA CAROLINA DA SILVA</t>
  </si>
  <si>
    <t>BRENDA CRISTIANE SOARES</t>
  </si>
  <si>
    <t>AMANDA MARQUES DOS SANTOS</t>
  </si>
  <si>
    <t>FERNANDA GUIMARÃES SANTANA</t>
  </si>
  <si>
    <t>CRISTIANE SOARES</t>
  </si>
  <si>
    <t>RAFAELA DILL DA SILVA</t>
  </si>
  <si>
    <t>CAROL GUMZ</t>
  </si>
  <si>
    <t>MATHEUS ANDRADE</t>
  </si>
  <si>
    <t>BRUNO FERNANDO MEDENSKI</t>
  </si>
  <si>
    <t>SALOMÃO PEREIRA GUERINI</t>
  </si>
  <si>
    <t>NATAN SEBASTIÃO SILVEIRA</t>
  </si>
  <si>
    <t>KAUÃ DE OLIVEIRA DOURADO</t>
  </si>
  <si>
    <t>Função</t>
  </si>
  <si>
    <t>Lider</t>
  </si>
  <si>
    <t>Equipamentos</t>
  </si>
  <si>
    <t>Experiência das Pessoas</t>
  </si>
  <si>
    <t>Auxiliar de Limpeza</t>
  </si>
  <si>
    <t>Leticia</t>
  </si>
  <si>
    <t xml:space="preserve">Não recebe. </t>
  </si>
  <si>
    <t>Inovação e Desenvolvimento</t>
  </si>
  <si>
    <t>Desenvolvedor Back-End Junior</t>
  </si>
  <si>
    <t>Samuel</t>
  </si>
  <si>
    <t>Notebook com no mínimo: Intel Core i5 de 12ª Geração (ou equivalente), memória RAM de 16 GB e armazenamento SSD de 500 GB; Monitor adicional de 27 polegadas; Headset com microfone, com fones cobrindo ambos os ouvidos; Periféricos: Teclado e mouse.</t>
  </si>
  <si>
    <t>Desenvolvedor Front-End Junior</t>
  </si>
  <si>
    <t>NOC</t>
  </si>
  <si>
    <t xml:space="preserve">Assistente de Redes </t>
  </si>
  <si>
    <t>João</t>
  </si>
  <si>
    <t>Kit Teclado e mouse,headset, suporte, notebook Ryzen 5 ou Core i5 16GB 256GB SSD + Adaptador de rede caso notebook não tenha entrada RJ45, mousepad, Monitor 24" FHD
Smartphone Samsumg A15 / Xiaomi Redmi 13C</t>
  </si>
  <si>
    <t>Relacionamento com o Cliente</t>
  </si>
  <si>
    <t>Atendente</t>
  </si>
  <si>
    <t>Emanuela</t>
  </si>
  <si>
    <t>Notebook, headset, teclado,mouse,suporte para notebook,  mousepad</t>
  </si>
  <si>
    <t>Jovem Aprendiz</t>
  </si>
  <si>
    <t>Suporte Externo</t>
  </si>
  <si>
    <t xml:space="preserve">Técnico de Suporte </t>
  </si>
  <si>
    <t>Bruno</t>
  </si>
  <si>
    <t>Celular e Chip</t>
  </si>
  <si>
    <t>Supervisor Operacional</t>
  </si>
  <si>
    <t>Notebook, headset, teclado,mouse,suporte para notebook, suporte notebook, mousepad</t>
  </si>
  <si>
    <t xml:space="preserve">Assistente de Operações </t>
  </si>
  <si>
    <t xml:space="preserve">Analista de Agendamento </t>
  </si>
  <si>
    <t>TI</t>
  </si>
  <si>
    <t>Estagiário</t>
  </si>
  <si>
    <t>Kit Teclado mouse,headset, suporte notebook Ryzen 5 ou Core i5/16GB RAM/256GB SSD + Adaptador de rede caso notebook não tenha entrada J45mousepad,Monitor 24" FHD E Celular
Smartphone Samsumg A15 / Xiaomi Remdi 13C</t>
  </si>
  <si>
    <t>INFRA</t>
  </si>
  <si>
    <t>Técnico</t>
  </si>
  <si>
    <t>Jakson</t>
  </si>
  <si>
    <t>Celular, Chip</t>
  </si>
  <si>
    <t>Setores</t>
  </si>
  <si>
    <t>INTELIGENCIA DE REDES</t>
  </si>
  <si>
    <t>AGILIDADE</t>
  </si>
  <si>
    <t>INTELIGENCIA DE DADOS</t>
  </si>
  <si>
    <t>EXPERIENCIA DAS PESSOAS</t>
  </si>
  <si>
    <t>GESTÃO DE FORNECEDORES</t>
  </si>
  <si>
    <t>COORDENADOR</t>
  </si>
  <si>
    <t>DIRETORIA</t>
  </si>
  <si>
    <t>FINANCEIRO NX</t>
  </si>
  <si>
    <t>SUPORTE NX</t>
  </si>
  <si>
    <t>Tipo do Item</t>
  </si>
  <si>
    <t>Marca</t>
  </si>
  <si>
    <t>Modelo</t>
  </si>
  <si>
    <t>Serial Number</t>
  </si>
  <si>
    <t>Responsável</t>
  </si>
  <si>
    <t>Patrimonio</t>
  </si>
  <si>
    <t>Observações</t>
  </si>
  <si>
    <t>All in one</t>
  </si>
  <si>
    <t>Samsung</t>
  </si>
  <si>
    <t>DP500A2L-KW1BR</t>
  </si>
  <si>
    <t>senhas adm: m@ster2025 / N@boT3mpErad0</t>
  </si>
  <si>
    <t>07CH9QCH800840</t>
  </si>
  <si>
    <t>ALL IN ONE</t>
  </si>
  <si>
    <t>Smartphone</t>
  </si>
  <si>
    <t>Xiaomi</t>
  </si>
  <si>
    <t>Redmi 9</t>
  </si>
  <si>
    <t>IMEI (1) 864977059399224</t>
  </si>
  <si>
    <t>M1906G7G</t>
  </si>
  <si>
    <t>celularesmaisinternet@gmail.com / capivara123 / Bruno Jose / descartado</t>
  </si>
  <si>
    <t>Redmi 12C</t>
  </si>
  <si>
    <t>IMEI(1) 860932063275559</t>
  </si>
  <si>
    <t>celularesmaisinternet@gmail.com / capivara123 / voltou do paolo</t>
  </si>
  <si>
    <t>ASUS</t>
  </si>
  <si>
    <t>Zenfone Shot Plus</t>
  </si>
  <si>
    <t>L5AXB6008501P8K</t>
  </si>
  <si>
    <t>L6AXB601D444ZAF</t>
  </si>
  <si>
    <t>ARMARIO</t>
  </si>
  <si>
    <t>celularesmaisinternet@gmail.com / capivara123 / Celular novo estava com ronald gaveta</t>
  </si>
  <si>
    <t>celularesmaisinternet@gmail.com / capivara123 / armário / maisinternetfibraa@gmail.com Soumais*2023</t>
  </si>
  <si>
    <t>GIMBAL</t>
  </si>
  <si>
    <t>-</t>
  </si>
  <si>
    <t>Monitor</t>
  </si>
  <si>
    <t xml:space="preserve">LG </t>
  </si>
  <si>
    <t>?</t>
  </si>
  <si>
    <t>Impressora</t>
  </si>
  <si>
    <t>M4070FR</t>
  </si>
  <si>
    <t>BRB7L5H6TY</t>
  </si>
  <si>
    <t>SALAO SEDE</t>
  </si>
  <si>
    <t>SALÃO</t>
  </si>
  <si>
    <t>impressaomaisinternet@gmail.com  senha: capivara123 / / / / admin capivara tonner Mlt-d203u 84:25:19:1D:E4:90</t>
  </si>
  <si>
    <t>Epson</t>
  </si>
  <si>
    <t>L3150</t>
  </si>
  <si>
    <t>SALA FINANCEIRO</t>
  </si>
  <si>
    <t>MAC 50:57:9C:88:59:19</t>
  </si>
  <si>
    <t>L375</t>
  </si>
  <si>
    <t>LOJA ZOOM</t>
  </si>
  <si>
    <t>44:D2:44:0D:9B:94</t>
  </si>
  <si>
    <t>L5190</t>
  </si>
  <si>
    <t>X5NR009874</t>
  </si>
  <si>
    <t>LOJA ILHA</t>
  </si>
  <si>
    <t>50:57:9C:92:18:BF /// Senha Acesso K@a(lo*s(%</t>
  </si>
  <si>
    <t>HP</t>
  </si>
  <si>
    <t>M1132 MFP</t>
  </si>
  <si>
    <t>BRCHB7V4HW</t>
  </si>
  <si>
    <t>Instalado no Setor NOC</t>
  </si>
  <si>
    <t>Brother</t>
  </si>
  <si>
    <t>DCP-1617NW</t>
  </si>
  <si>
    <t>U63980-C3X449636</t>
  </si>
  <si>
    <t>LOJA SANTO AMARO</t>
  </si>
  <si>
    <t>UNIDADE SERRA</t>
  </si>
  <si>
    <t>MAC LAN: B4:22:00:C4:00:27 Senha acesso uNTt80%0</t>
  </si>
  <si>
    <t>DCP-1610NW</t>
  </si>
  <si>
    <t>63980B5L309727</t>
  </si>
  <si>
    <t>LOJA BARRA DA LAGOA</t>
  </si>
  <si>
    <t>UNIDADE ILHA</t>
  </si>
  <si>
    <t>MAC WLAN:    04:68:74:9c:a3:bb MAC LAN 94:dd:f8:5e:94:b2 senha 2FHjd68G</t>
  </si>
  <si>
    <t>DCP-L5512DN</t>
  </si>
  <si>
    <t>U67030B6N603233</t>
  </si>
  <si>
    <t>SEDE</t>
  </si>
  <si>
    <t>MAC: 94-DD-F8-E4-B9-34</t>
  </si>
  <si>
    <t>U63980-G3X602190</t>
  </si>
  <si>
    <t>LOJA GAROPABA</t>
  </si>
  <si>
    <t>UNIDADE GAROPABA</t>
  </si>
  <si>
    <t>MAC LAN B4:22:00:DC:72:2C MAC WLAN CC:5E:F8:6C:AD:29 Senha acesso @n@#XGtM</t>
  </si>
  <si>
    <t>MiniPC</t>
  </si>
  <si>
    <t>Belink</t>
  </si>
  <si>
    <t>T4PRO</t>
  </si>
  <si>
    <t>B33503KH60639</t>
  </si>
  <si>
    <t>TV COMERCIAL</t>
  </si>
  <si>
    <t>27MS500-B</t>
  </si>
  <si>
    <t>502AZQV4L356</t>
  </si>
  <si>
    <t>EQUIPAMENTO NOVO</t>
  </si>
  <si>
    <t>502AZSP4L310</t>
  </si>
  <si>
    <t>24MS500-B</t>
  </si>
  <si>
    <t>409AZMG04979</t>
  </si>
  <si>
    <t>412AZQV5Y332</t>
  </si>
  <si>
    <t>412AZWS6A865</t>
  </si>
  <si>
    <t>LG</t>
  </si>
  <si>
    <t>26WQ500-B</t>
  </si>
  <si>
    <t>404AZMGCL459</t>
  </si>
  <si>
    <t>Equipamento entregue novo</t>
  </si>
  <si>
    <t>308AZMG9V019</t>
  </si>
  <si>
    <t>EVERSON</t>
  </si>
  <si>
    <t>Everson e Bruna</t>
  </si>
  <si>
    <t>308AZFM9V003</t>
  </si>
  <si>
    <t>308AZPU67088</t>
  </si>
  <si>
    <t>BRUNA</t>
  </si>
  <si>
    <t>308AZUJ67030</t>
  </si>
  <si>
    <t>24MK430H-B</t>
  </si>
  <si>
    <t>106SPJP1M996</t>
  </si>
  <si>
    <t>24MP400-B</t>
  </si>
  <si>
    <t>308AZYE4Q322</t>
  </si>
  <si>
    <t>308AZUJ4P846</t>
  </si>
  <si>
    <t>LENOVO</t>
  </si>
  <si>
    <t>S22-E19</t>
  </si>
  <si>
    <t>VA769775</t>
  </si>
  <si>
    <t>VA769052</t>
  </si>
  <si>
    <t>VA769050</t>
  </si>
  <si>
    <t>24MP400</t>
  </si>
  <si>
    <t>312AZKA1H365</t>
  </si>
  <si>
    <t>20MK400H-B</t>
  </si>
  <si>
    <t>201AZERA2388</t>
  </si>
  <si>
    <t>204AZCQ0L603</t>
  </si>
  <si>
    <t>403AZSP34302</t>
  </si>
  <si>
    <t>AS Rock</t>
  </si>
  <si>
    <t>CL25FF</t>
  </si>
  <si>
    <t>H1NL0A002308</t>
  </si>
  <si>
    <t>106SPQJ1N004</t>
  </si>
  <si>
    <t>0096PMZ0J387</t>
  </si>
  <si>
    <t>0098PJP18900</t>
  </si>
  <si>
    <t>009SPSL0C382</t>
  </si>
  <si>
    <t>403AZGF34303</t>
  </si>
  <si>
    <t>403AZKA34261</t>
  </si>
  <si>
    <t>403AZMG34211</t>
  </si>
  <si>
    <t>Estava com Cleylson</t>
  </si>
  <si>
    <t>403AZUJ34262</t>
  </si>
  <si>
    <t>009SPWQ0K393</t>
  </si>
  <si>
    <t>20MK400H</t>
  </si>
  <si>
    <t>009SPXV0J418</t>
  </si>
  <si>
    <t>n1</t>
  </si>
  <si>
    <t>009SPCA0H899</t>
  </si>
  <si>
    <t>9SPJP0J348</t>
  </si>
  <si>
    <t>CAIO</t>
  </si>
  <si>
    <t>204AZYE0L602</t>
  </si>
  <si>
    <t>009SPCA0K355</t>
  </si>
  <si>
    <t>009SPHG0H897</t>
  </si>
  <si>
    <t>marcado errado, estava vinculado a Nicolly</t>
  </si>
  <si>
    <t>Moob</t>
  </si>
  <si>
    <t>M24F</t>
  </si>
  <si>
    <t>M24FAB100BR20101121</t>
  </si>
  <si>
    <t>204AZJT2Z332</t>
  </si>
  <si>
    <t>204AZBZ2Z285</t>
  </si>
  <si>
    <t>Esta na sede</t>
  </si>
  <si>
    <t>20MK400</t>
  </si>
  <si>
    <t>009SPYR0K330</t>
  </si>
  <si>
    <t>AP</t>
  </si>
  <si>
    <t>Huawei</t>
  </si>
  <si>
    <t>EkitEngine AP361</t>
  </si>
  <si>
    <t>MAC ADDRESS: 94:90:10:ED:27:20</t>
  </si>
  <si>
    <t>308AZCQ4P499</t>
  </si>
  <si>
    <t>305AZTHC4337</t>
  </si>
  <si>
    <t>305AZWSC4369</t>
  </si>
  <si>
    <t>204AZSP0L630</t>
  </si>
  <si>
    <t>24MK430H</t>
  </si>
  <si>
    <t>207AZUJ3U350</t>
  </si>
  <si>
    <t>305AZQVC2100</t>
  </si>
  <si>
    <t>MarketingNovo</t>
  </si>
  <si>
    <t>305AZYEC2074</t>
  </si>
  <si>
    <t>Estava com João Vitor Comercial</t>
  </si>
  <si>
    <t>204AZVN0L671</t>
  </si>
  <si>
    <t>302AZUJ26878</t>
  </si>
  <si>
    <t>Mesa Guilherme</t>
  </si>
  <si>
    <t>Equipamento entregue novo / Morgane</t>
  </si>
  <si>
    <t>302AZMG26899</t>
  </si>
  <si>
    <t>408AZQVG5820</t>
  </si>
  <si>
    <t>408AZERG5924</t>
  </si>
  <si>
    <t>408AZCQG5915</t>
  </si>
  <si>
    <t>AsRock</t>
  </si>
  <si>
    <t>AOC</t>
  </si>
  <si>
    <t>24 B35HM2</t>
  </si>
  <si>
    <t>Notebook</t>
  </si>
  <si>
    <t>Lenovo</t>
  </si>
  <si>
    <t>Ideapad 330</t>
  </si>
  <si>
    <t>estava com Marlucia</t>
  </si>
  <si>
    <t>ThinkPad E14</t>
  </si>
  <si>
    <t>Idepad 3 15ITL6</t>
  </si>
  <si>
    <t>PE0BSSNC</t>
  </si>
  <si>
    <t>NOVO</t>
  </si>
  <si>
    <t>Idepad 1 15IAU7</t>
  </si>
  <si>
    <t>PE9015305088</t>
  </si>
  <si>
    <t xml:space="preserve"> GGG</t>
  </si>
  <si>
    <t>EQUIPAMENTO ENTREGUE NOVO ESTAVA COM CARLOS</t>
  </si>
  <si>
    <t>Ideapad 3 15ALC6</t>
  </si>
  <si>
    <t>PE0C402V</t>
  </si>
  <si>
    <t>Thinkpad T480</t>
  </si>
  <si>
    <t>PE04PPM3</t>
  </si>
  <si>
    <t>NOTEBOOK CHEGOU DIA 26/02/2025... / Senha de ADM qUiaBO%0097</t>
  </si>
  <si>
    <t>PE04PNE1</t>
  </si>
  <si>
    <t>NOTEBOOK CHEGOU DIA 26/02/2025 / Devolvido em perfeito estado por (Julio)</t>
  </si>
  <si>
    <t>ThinkPad T480</t>
  </si>
  <si>
    <t>PE04YPFW</t>
  </si>
  <si>
    <t>Notebook comprado no ML usado</t>
  </si>
  <si>
    <t>ThinkPad T470</t>
  </si>
  <si>
    <t>PE03JDC5</t>
  </si>
  <si>
    <t>Entrege adaptador USB RJ45 TP LINK Comprado na semana 18/02/2025</t>
  </si>
  <si>
    <t>PF11Y6K8</t>
  </si>
  <si>
    <t>Click esquerdo do touch com ruido / no armario/ Senha ADM: N@boT3mpErad0/ está com adaptador de rede</t>
  </si>
  <si>
    <t>PF0VBHT6</t>
  </si>
  <si>
    <t>ThinkPad T490</t>
  </si>
  <si>
    <t>PE05KEQR</t>
  </si>
  <si>
    <t>DABRAMO NOTEBOOKS</t>
  </si>
  <si>
    <t>PE05KHD9</t>
  </si>
  <si>
    <t>PE05KEJP</t>
  </si>
  <si>
    <t>PE05KMQ3</t>
  </si>
  <si>
    <t>PE05KEVC</t>
  </si>
  <si>
    <t>PE05KECQ</t>
  </si>
  <si>
    <t>DABRAMO NOTEBOOKS user adm senha m@ster2025 , estava com o edson gomes</t>
  </si>
  <si>
    <t>PE03SLYN</t>
  </si>
  <si>
    <t>Ideapad 1</t>
  </si>
  <si>
    <t>PE0E387S</t>
  </si>
  <si>
    <t>PE0DKFHM</t>
  </si>
  <si>
    <t>PE0DKHG1</t>
  </si>
  <si>
    <t>PE0DKFYA</t>
  </si>
  <si>
    <t>Equip entregue novo / notebookmaisinternet@outlook.com senha Capivara@123 / PIN 010203</t>
  </si>
  <si>
    <t>PE0AVKXK</t>
  </si>
  <si>
    <t>Ideapad 1 15IAU7</t>
  </si>
  <si>
    <t>PE9015313075</t>
  </si>
  <si>
    <t>EQUIPAMENTO ENTREGUE NOVO</t>
  </si>
  <si>
    <t>PE9015328124</t>
  </si>
  <si>
    <t>EQUIPAMENTO ENTREGUE NOVO/ senha ADM : N@boT3mpErad0</t>
  </si>
  <si>
    <t>PE9015328130</t>
  </si>
  <si>
    <t>PE9015307084</t>
  </si>
  <si>
    <t>EQUIPAMENTO ENTREGUE NOVO / senha adm: N@boT3mpErad0</t>
  </si>
  <si>
    <t>PE90153307084</t>
  </si>
  <si>
    <t>BERNARDO</t>
  </si>
  <si>
    <t>EQUIPAMENTO NOVO / senha adm: m@ster2025</t>
  </si>
  <si>
    <t>V14 G3-ABA</t>
  </si>
  <si>
    <t xml:space="preserve">Equipamento entregue novo </t>
  </si>
  <si>
    <t>PE0BY91V</t>
  </si>
  <si>
    <t>T460</t>
  </si>
  <si>
    <t>PE02MD9U</t>
  </si>
  <si>
    <t>Comprado ML dia 25/022024/ problemas no touchpad</t>
  </si>
  <si>
    <t>PE02R8SR</t>
  </si>
  <si>
    <t>Comprado ML dia 25/02/2024</t>
  </si>
  <si>
    <t>PE0BY8Y7</t>
  </si>
  <si>
    <t>Dell</t>
  </si>
  <si>
    <t>Inspiron 3520</t>
  </si>
  <si>
    <t>FV8R044</t>
  </si>
  <si>
    <t>Defeito Bateria e lentidão</t>
  </si>
  <si>
    <t>CV8R044</t>
  </si>
  <si>
    <t>DV8R044</t>
  </si>
  <si>
    <t>8V8R044</t>
  </si>
  <si>
    <t>BV8R044</t>
  </si>
  <si>
    <t>9V8R044</t>
  </si>
  <si>
    <t>PE0AVKDQ</t>
  </si>
  <si>
    <t>Equipamento entregue novo estava com Morgane/ Nicolly</t>
  </si>
  <si>
    <t>Ideapad 3</t>
  </si>
  <si>
    <t>PE08RNJB</t>
  </si>
  <si>
    <t>Estava com Vand</t>
  </si>
  <si>
    <t>ThinkPad E480</t>
  </si>
  <si>
    <t>K1BR87J01YZ</t>
  </si>
  <si>
    <t>Notebook Pleticos</t>
  </si>
  <si>
    <t>PE08RR2Y</t>
  </si>
  <si>
    <t>core i3</t>
  </si>
  <si>
    <t>Latitude E6320</t>
  </si>
  <si>
    <t>F4858S1</t>
  </si>
  <si>
    <t>ATIVAÇÃO</t>
  </si>
  <si>
    <t>8750 Patrimonio notebook emprestado loja santo amaro, mouse logitech e fone de ouvido</t>
  </si>
  <si>
    <t>PC CAMERA</t>
  </si>
  <si>
    <t xml:space="preserve">PC CAMERA </t>
  </si>
  <si>
    <t>Notebook atualmente para PC TV COMERCIAL CÂMERA</t>
  </si>
  <si>
    <t>PE08RXWK</t>
  </si>
  <si>
    <t>Era do Rafael Comercial</t>
  </si>
  <si>
    <t>PE03Y56Q</t>
  </si>
  <si>
    <t>Estava com Gabriel Atendimento</t>
  </si>
  <si>
    <t>SSD 480GB Kingston manutenção em 13/04/2023</t>
  </si>
  <si>
    <t>PE08HCPJ</t>
  </si>
  <si>
    <t>PE04KKMV</t>
  </si>
  <si>
    <t>note antigo Edilaine/ Joao Barcelos</t>
  </si>
  <si>
    <t>Inspiron 15 3530</t>
  </si>
  <si>
    <t>6BVQ194</t>
  </si>
  <si>
    <t>Novo, perfeito estado</t>
  </si>
  <si>
    <t>B40-30 80F1</t>
  </si>
  <si>
    <t>PE024BOY</t>
  </si>
  <si>
    <t>SERVIDOR DE IMPRESSÃO</t>
  </si>
  <si>
    <t>SERVIDOR IMPRESSAO</t>
  </si>
  <si>
    <t>Servidor de Impressao / esta na Florence Peugeot para configuração da RB</t>
  </si>
  <si>
    <t>NP350XBE</t>
  </si>
  <si>
    <t>8A68-1258410</t>
  </si>
  <si>
    <t>ARION</t>
  </si>
  <si>
    <t>Problema botao ligar, carcaça quebrada</t>
  </si>
  <si>
    <t>Trachado próximo ao botao power</t>
  </si>
  <si>
    <t>P75F006</t>
  </si>
  <si>
    <t>58QWQ23</t>
  </si>
  <si>
    <t>PE9039524015</t>
  </si>
  <si>
    <t>Entrada P3 sem funcionamento</t>
  </si>
  <si>
    <t>Esta sem etiqueta patrimonio na parte inferior</t>
  </si>
  <si>
    <t>Notebook Provisório</t>
  </si>
  <si>
    <t>G40-70</t>
  </si>
  <si>
    <t>PE00WKH1</t>
  </si>
  <si>
    <t>PE0886ER</t>
  </si>
  <si>
    <t>PE08SZ6E</t>
  </si>
  <si>
    <t>Era da Patricia / senha ADM: N@boT3mpErad0</t>
  </si>
  <si>
    <t>PE08T0V0</t>
  </si>
  <si>
    <t>Esatava com Nilton</t>
  </si>
  <si>
    <t>PE08T0TL</t>
  </si>
  <si>
    <t>PE087YD5</t>
  </si>
  <si>
    <t>20GB memoria RAM</t>
  </si>
  <si>
    <t>PE0882P1</t>
  </si>
  <si>
    <t>Arranhados na parte lateral teclado / desgaste natural / Estava com Andressa</t>
  </si>
  <si>
    <t>V15</t>
  </si>
  <si>
    <t>PE08L03G</t>
  </si>
  <si>
    <t>PE08L065</t>
  </si>
  <si>
    <t>Equipamento semi novo estava com Suris</t>
  </si>
  <si>
    <t>P75F0005</t>
  </si>
  <si>
    <t>2S13R23</t>
  </si>
  <si>
    <t>Notebook NX Connect estava com Eduarda</t>
  </si>
  <si>
    <t>PE094YBH</t>
  </si>
  <si>
    <t>ENTREGUE NOVO</t>
  </si>
  <si>
    <t>PE094YB8</t>
  </si>
  <si>
    <t>INSPIRON 3584</t>
  </si>
  <si>
    <t>2TYVQ23</t>
  </si>
  <si>
    <t>senha: xaBUM!3702 / PC DE TESTES</t>
  </si>
  <si>
    <t>INSPIRON 15 3567</t>
  </si>
  <si>
    <t>8SD19T2</t>
  </si>
  <si>
    <t>Pequena Mancha branca no canto superior direito da tela / Carlos Alberto derramou agua queimou 1 memoria</t>
  </si>
  <si>
    <t>INSPIRON 15</t>
  </si>
  <si>
    <t>JNCCK03</t>
  </si>
  <si>
    <t>Equipamento em perfeitas condições / Formatado</t>
  </si>
  <si>
    <t>IDEAPAD B330 15IKBR</t>
  </si>
  <si>
    <t>PE06B1D7</t>
  </si>
  <si>
    <t>comprado da Mobiliza/ teclas da ultima fileira com defeito</t>
  </si>
  <si>
    <t>comprado da Mobiliza / teclado substituido / carregador nao original</t>
  </si>
  <si>
    <t>comprado da Mobiliza</t>
  </si>
  <si>
    <t>DELL</t>
  </si>
  <si>
    <t>VOSTRO 15 3515</t>
  </si>
  <si>
    <t>comprado da Mobiliza / ficava com Thiago comercial</t>
  </si>
  <si>
    <t xml:space="preserve">ThinkPad T480 </t>
  </si>
  <si>
    <t>PE04C1S8</t>
  </si>
  <si>
    <t>Notebook desligando quando conectado na energia, estava com vitor garopaba</t>
  </si>
  <si>
    <t>V15 G3 IAP</t>
  </si>
  <si>
    <t>PE9014C04035</t>
  </si>
  <si>
    <t>Equipamento entregue novo/ADM: N@boT3mpErad0 devolvido no armario</t>
  </si>
  <si>
    <t>Equipamento entregue novo/ Senha ADM: N@boT3mpErad0</t>
  </si>
  <si>
    <t>Redmi Note 8</t>
  </si>
  <si>
    <t>cbe890dc</t>
  </si>
  <si>
    <t>K41S</t>
  </si>
  <si>
    <t>103BSLY1329824</t>
  </si>
  <si>
    <t>Equipamento entregue com carregador e cabo, N° 48 9 2002-4315</t>
  </si>
  <si>
    <t>A15</t>
  </si>
  <si>
    <t>RQ8X902387M</t>
  </si>
  <si>
    <t>inframaisinternet1@gmail.com capivara123 / N° 48 9 20027846, senha smartphone : 123@+i</t>
  </si>
  <si>
    <t>RQ8X80372VR</t>
  </si>
  <si>
    <t>CARLOS DANIEL</t>
  </si>
  <si>
    <t>TÉCNICO</t>
  </si>
  <si>
    <t>Celular novo - N° 48 9 2002-4314    entregue com carregador</t>
  </si>
  <si>
    <t>RQ8X803C3NT</t>
  </si>
  <si>
    <t>Celular novo</t>
  </si>
  <si>
    <t>RQ8X901Z96H</t>
  </si>
  <si>
    <t>RQ8X900KCJF</t>
  </si>
  <si>
    <t>SUPORTE</t>
  </si>
  <si>
    <t>RQ8X800G7JT</t>
  </si>
  <si>
    <t>RXCXA01PBZF</t>
  </si>
  <si>
    <t>equipamento entregue novo / celularesnocmaisinternet@gmail.com senha capivara@123</t>
  </si>
  <si>
    <t>RXCXA01PD3B</t>
  </si>
  <si>
    <t>CELULAR INTEIRO POREM COM MARCAS DE USO / COM MDM</t>
  </si>
  <si>
    <t>RXCXA01QB5W</t>
  </si>
  <si>
    <t>entregue novo / estava com Edson, colocado mdm</t>
  </si>
  <si>
    <t>RQCX505XDWX</t>
  </si>
  <si>
    <t>RXCXA01Q4BK</t>
  </si>
  <si>
    <t>RXCXA01Q42H</t>
  </si>
  <si>
    <t>entregue novo</t>
  </si>
  <si>
    <t>RQ8X703JBLB</t>
  </si>
  <si>
    <t>Aparelho entregue novo / cobrancasmaisinternet@gmail.com Capivara@123 / Usado em conjunto com Marcos Vinicius</t>
  </si>
  <si>
    <t>105BSJA1516764</t>
  </si>
  <si>
    <t>somente para bkp estava com ismael fernando</t>
  </si>
  <si>
    <t>XIAOMI</t>
  </si>
  <si>
    <t>M2004J19G</t>
  </si>
  <si>
    <t>M1908C3JG</t>
  </si>
  <si>
    <t>CABO CARREGADOR DANIFICADO</t>
  </si>
  <si>
    <t>iPhone</t>
  </si>
  <si>
    <t>DV6GD0GF0F0N</t>
  </si>
  <si>
    <t>Motorola</t>
  </si>
  <si>
    <t>XT2095-1</t>
  </si>
  <si>
    <t>ZF523K6R86</t>
  </si>
  <si>
    <t>ZF523K8V7W</t>
  </si>
  <si>
    <t>SETOR FINANCEIRO</t>
  </si>
  <si>
    <t>A03 CORE</t>
  </si>
  <si>
    <t>R9XT8007MZZ</t>
  </si>
  <si>
    <t>entregue novo na caixa faltando carregador / estava com Ruth / Larissa celularesmaisinternet@gmail.com / capivara123 PELICULA RACHADA</t>
  </si>
  <si>
    <t>R9XT708MB9D</t>
  </si>
  <si>
    <t>entregue novo na caixa</t>
  </si>
  <si>
    <t>K61 - LM-Q630BAW</t>
  </si>
  <si>
    <t>101BSPS0312416</t>
  </si>
  <si>
    <t>APPLE</t>
  </si>
  <si>
    <t>ID APLE mkt@maisinternet.net.br Senha Capivara@123 desbloqueio celular senha capivara</t>
  </si>
  <si>
    <t>Galaxy A15 5G</t>
  </si>
  <si>
    <t>RXCX900Y76Z</t>
  </si>
  <si>
    <t>celularesmaisinternet@gmail.com</t>
  </si>
  <si>
    <t>A03</t>
  </si>
  <si>
    <t>R9XTA0B0QLT</t>
  </si>
  <si>
    <t>Equipamento com tela trincada</t>
  </si>
  <si>
    <t>R9QT809G25Y</t>
  </si>
  <si>
    <t>Pode ter sido entregue a um técnico</t>
  </si>
  <si>
    <t>A15 5G</t>
  </si>
  <si>
    <t>RQCX505XB5T</t>
  </si>
  <si>
    <t>suportemaisinternet1@gmail.com / capivara123 aparelho entregue novo</t>
  </si>
  <si>
    <t>A15 4G</t>
  </si>
  <si>
    <t>RX8X8051CKF</t>
  </si>
  <si>
    <t>RXCWC039T7B</t>
  </si>
  <si>
    <t>celularesmaisinternet@gmail.com / capivara123 Entregue Novo</t>
  </si>
  <si>
    <t>2212ARNC4L</t>
  </si>
  <si>
    <t>13C</t>
  </si>
  <si>
    <t>23100RN82L</t>
  </si>
  <si>
    <t>Estava com Guilherme Passos / Celular BRICKADO!</t>
  </si>
  <si>
    <t>R9QT902RBPN</t>
  </si>
  <si>
    <t>celularesmaisinternet@gmail.com / capivara123 / Padrao de desbloqueio nas fotos</t>
  </si>
  <si>
    <t>A04S</t>
  </si>
  <si>
    <t>RX8W2056AAW</t>
  </si>
  <si>
    <t>celularesmaisinternet@gmail.com / capivara123</t>
  </si>
  <si>
    <t>RX8W20576VV</t>
  </si>
  <si>
    <t>A04s</t>
  </si>
  <si>
    <t>RX8W203SZEF</t>
  </si>
  <si>
    <t>celularesmaisinternet@gmail.com / capivara123 estava com Pablo Antony</t>
  </si>
  <si>
    <t>RXCXA01P3GW</t>
  </si>
  <si>
    <t>ESTAVA COM GEOVANE AMORAS</t>
  </si>
  <si>
    <t>A16</t>
  </si>
  <si>
    <t>RQ8Y800H7GV</t>
  </si>
  <si>
    <t>RQ8Y800HCGT</t>
  </si>
  <si>
    <t xml:space="preserve">Estava com Paolo / </t>
  </si>
  <si>
    <t>RQ8X7045TXR</t>
  </si>
  <si>
    <t>RQ8X7048CCX</t>
  </si>
  <si>
    <t>celularesmaisinternet@gmail.com / capivara123 ESTAVA COM CARLOS</t>
  </si>
  <si>
    <t>SM-A156M/DSN</t>
  </si>
  <si>
    <t>SMARTV</t>
  </si>
  <si>
    <t>UK6310PSE</t>
  </si>
  <si>
    <t>SALA DE DESCANSO</t>
  </si>
  <si>
    <t>Tablet</t>
  </si>
  <si>
    <t>A7 LITE T225</t>
  </si>
  <si>
    <t>R9XT20CQTYF</t>
  </si>
  <si>
    <t>Tela c/ pequeno rachado no lado esq/ celularesmaisinternet@gmail.com - capivara123</t>
  </si>
  <si>
    <t>R9XT50MM8QE</t>
  </si>
  <si>
    <t>email: tablet01maisinternet@gmail.com senha Capivara123/  conta galaxy senha c@pivara2022 / padrão: é um "M"</t>
  </si>
  <si>
    <t>Telefone Voip</t>
  </si>
  <si>
    <t>Intelbras</t>
  </si>
  <si>
    <t>TIP1251</t>
  </si>
  <si>
    <t>MEAG5000154FI</t>
  </si>
  <si>
    <t>VINICIUS JOSE COELHO</t>
  </si>
  <si>
    <t>EMPRESTADO PARA CLIENTE</t>
  </si>
  <si>
    <t>CLIENTE CAROLINA DA ROCHA FUCK / Visor com led fraco</t>
  </si>
  <si>
    <t>MEA13100929C7</t>
  </si>
  <si>
    <t>defeito botao mute</t>
  </si>
  <si>
    <t>armário</t>
  </si>
  <si>
    <t>TIP125I</t>
  </si>
  <si>
    <t>MEAJ2501184RP</t>
  </si>
  <si>
    <t>MEA1230043431C6</t>
  </si>
  <si>
    <t>Armario</t>
  </si>
  <si>
    <t>V5501</t>
  </si>
  <si>
    <t>QF3H460045320</t>
  </si>
  <si>
    <t>MEAI2300432XY</t>
  </si>
  <si>
    <t>MEAG5000063XP</t>
  </si>
  <si>
    <t>pode estar no estoque</t>
  </si>
  <si>
    <t>MEAH250162160</t>
  </si>
  <si>
    <t>Garopaba</t>
  </si>
  <si>
    <t>TIP125</t>
  </si>
  <si>
    <t>MEAI30005551L</t>
  </si>
  <si>
    <t>MEAH25016290Q</t>
  </si>
  <si>
    <t>MEAI3000556AY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</si>
  <si>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</si>
  <si>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com delay</t>
  </si>
  <si>
    <t>MEAG5000057A4</t>
  </si>
  <si>
    <t xml:space="preserve">Firmware Atualizado / Armário </t>
  </si>
  <si>
    <t>MEAJ1400337X8</t>
  </si>
  <si>
    <t>JUNKES FERRAGENS</t>
  </si>
  <si>
    <t>MEAH44202618XZ</t>
  </si>
  <si>
    <t>tela fraca</t>
  </si>
  <si>
    <t>MEAH3500942BO</t>
  </si>
  <si>
    <t xml:space="preserve">novo na caixa </t>
  </si>
  <si>
    <t>armario funcionamento ok</t>
  </si>
  <si>
    <t>TV</t>
  </si>
  <si>
    <t>Philco</t>
  </si>
  <si>
    <t>PTV50G70SBLSG4K-VC</t>
  </si>
  <si>
    <t>ID em fotos</t>
  </si>
  <si>
    <t>TV INSTALADA NA SALA DE REUNIÕES</t>
  </si>
  <si>
    <t>PHILCO</t>
  </si>
  <si>
    <t>TV INSTALADA NO NOC</t>
  </si>
  <si>
    <t>49LJ551C</t>
  </si>
  <si>
    <t>810AZFM36515</t>
  </si>
  <si>
    <t>TV RELACIONAMENTO</t>
  </si>
  <si>
    <t>Video Game</t>
  </si>
  <si>
    <t>PS5</t>
  </si>
  <si>
    <t>PS5 COM DISCO</t>
  </si>
  <si>
    <t>F32CO1JHU11364506</t>
  </si>
  <si>
    <t>29WL500</t>
  </si>
  <si>
    <t>412AZFM8F691</t>
  </si>
  <si>
    <t>ZOOM</t>
  </si>
  <si>
    <t>309AZPU9H248</t>
  </si>
  <si>
    <t>Acer</t>
  </si>
  <si>
    <t>Aspire A515-41G</t>
  </si>
  <si>
    <t>N17C4</t>
  </si>
  <si>
    <t>LaserJet P1102w</t>
  </si>
  <si>
    <t>IP: 192.168.2.41</t>
  </si>
  <si>
    <t>PC</t>
  </si>
  <si>
    <t>Genérico</t>
  </si>
  <si>
    <t>24MS500</t>
  </si>
  <si>
    <t>24MS501</t>
  </si>
  <si>
    <t>24MS502</t>
  </si>
  <si>
    <t>Philips</t>
  </si>
  <si>
    <t>N1</t>
  </si>
  <si>
    <t>A17</t>
  </si>
  <si>
    <t>Ideapad Slim 3 15IRH10</t>
  </si>
  <si>
    <t>PE0FS765</t>
  </si>
  <si>
    <t>Acessório</t>
  </si>
  <si>
    <t>HUB Usb</t>
  </si>
  <si>
    <t>27MS500</t>
  </si>
  <si>
    <t>602AZYED7026</t>
  </si>
  <si>
    <t>PE04MKF8</t>
  </si>
  <si>
    <t>Celular</t>
  </si>
  <si>
    <t>Equipamento</t>
  </si>
  <si>
    <t>Serial</t>
  </si>
  <si>
    <t>Ocorrencia</t>
  </si>
  <si>
    <t>Responsavel</t>
  </si>
  <si>
    <t>BGV69R1</t>
  </si>
  <si>
    <t>SUBSTITUIDO PELO PATR. 28787</t>
  </si>
  <si>
    <t>Garantia</t>
  </si>
  <si>
    <t>9F9D2V1</t>
  </si>
  <si>
    <t>SUBSTITUIDO PELO PATR. 28769</t>
  </si>
  <si>
    <t>Molhou o notebook rep. Alex Sander</t>
  </si>
  <si>
    <t>Alex Sander</t>
  </si>
  <si>
    <t>Perdeu carregador RESP JOAO RICARDO</t>
  </si>
  <si>
    <t>Joao Ricardo</t>
  </si>
  <si>
    <t>Perdeu notebook resp Igor Ninoff</t>
  </si>
  <si>
    <t>Igor Ninoff</t>
  </si>
  <si>
    <t>FURTADO, TEM B.O, RESP. DURVAL</t>
  </si>
  <si>
    <t>Durval Neto</t>
  </si>
  <si>
    <t>ROUBADO</t>
  </si>
  <si>
    <t>Roubado resp Durval</t>
  </si>
  <si>
    <t>Esquecido no UBER</t>
  </si>
  <si>
    <t>Larissa May</t>
  </si>
  <si>
    <t>LL4G440025001</t>
  </si>
  <si>
    <t>Devolvido ao estoque</t>
  </si>
  <si>
    <t>Estoque</t>
  </si>
  <si>
    <t>MEAG5000039VK</t>
  </si>
  <si>
    <t>MEAG5000062Y9</t>
  </si>
  <si>
    <t>TIP125i</t>
  </si>
  <si>
    <t>MEAG500006170</t>
  </si>
  <si>
    <t>MEAG500064SF</t>
  </si>
  <si>
    <t>L1918S</t>
  </si>
  <si>
    <t>704TPFX34611</t>
  </si>
  <si>
    <t>peça defeituosa</t>
  </si>
  <si>
    <t>LL4G4400397D8</t>
  </si>
  <si>
    <t>não liga</t>
  </si>
  <si>
    <t>MEAI3000537NX</t>
  </si>
  <si>
    <t>Não Liga</t>
  </si>
  <si>
    <t>Desmontado para doação de peças</t>
  </si>
  <si>
    <t>Felipe</t>
  </si>
  <si>
    <t>L1752S</t>
  </si>
  <si>
    <t>608SPRW61326</t>
  </si>
  <si>
    <t>Não atende requisitos para trabalho, estoque</t>
  </si>
  <si>
    <t>M1908C3JH</t>
  </si>
  <si>
    <t>Tela quebrou, usado para reposição de peças</t>
  </si>
  <si>
    <t>Sandro Bogish</t>
  </si>
  <si>
    <t>G400S</t>
  </si>
  <si>
    <t>80AC000FBR</t>
  </si>
  <si>
    <t>Aparelho extraviado</t>
  </si>
  <si>
    <t>Matheus Barbosa do Nascimento</t>
  </si>
  <si>
    <t>85M19S1</t>
  </si>
  <si>
    <t>Doador de Peças</t>
  </si>
  <si>
    <t>Armário / Bruno Ricardo</t>
  </si>
  <si>
    <t>Positivo</t>
  </si>
  <si>
    <t>S14BW01</t>
  </si>
  <si>
    <t>4A4142K5L</t>
  </si>
  <si>
    <t>K41</t>
  </si>
  <si>
    <t>103BSJA1334396</t>
  </si>
  <si>
    <t>Aparelho obsoleto</t>
  </si>
  <si>
    <t>POSITIVO</t>
  </si>
  <si>
    <t>UNION UD3553</t>
  </si>
  <si>
    <t>4A197BR2H</t>
  </si>
  <si>
    <t>PC não atende aos requisitos de Hardware para empresa</t>
  </si>
  <si>
    <t>Tela com defeito no TOUCH / celularesmaisinternet@gmail.com / capivara123 / CARREGADOR NOVO</t>
  </si>
  <si>
    <t>Ronald</t>
  </si>
  <si>
    <t>PE0BSSMC</t>
  </si>
  <si>
    <t>Notebook roubado</t>
  </si>
  <si>
    <t>Eduardo Oliveira</t>
  </si>
  <si>
    <t>ThinClient</t>
  </si>
  <si>
    <t>ZeroClient</t>
  </si>
  <si>
    <t>R1</t>
  </si>
  <si>
    <t>desativado</t>
  </si>
  <si>
    <t>Desativado, no estoque</t>
  </si>
  <si>
    <t>105BSVL1517607</t>
  </si>
  <si>
    <t>Celular Perdido, descontado na saida</t>
  </si>
  <si>
    <t>Vinicius Manes</t>
  </si>
  <si>
    <t>All in One</t>
  </si>
  <si>
    <t>22V270</t>
  </si>
  <si>
    <t>802BZTE000489</t>
  </si>
  <si>
    <t>802BZXG000330</t>
  </si>
  <si>
    <t>22V280</t>
  </si>
  <si>
    <t>805BZWB000905</t>
  </si>
  <si>
    <t>Defeito, nao aparece imagem</t>
  </si>
  <si>
    <t>mau contato carregador / estoque</t>
  </si>
  <si>
    <t xml:space="preserve"> </t>
  </si>
  <si>
    <t>Estava com Pablo</t>
  </si>
  <si>
    <t>roubado perdido casa cliente / recuperado sem carregador</t>
  </si>
  <si>
    <t>47JWRR1</t>
  </si>
  <si>
    <t>estava com Ismael Fernando emprestado um adaptador de rede</t>
  </si>
  <si>
    <t>armario</t>
  </si>
  <si>
    <t>4A4142S80</t>
  </si>
  <si>
    <t>sem termo feito</t>
  </si>
  <si>
    <t>Placa rede linka em FAST</t>
  </si>
  <si>
    <t>22MP55</t>
  </si>
  <si>
    <t>ARMARIO DESCARTE</t>
  </si>
  <si>
    <t>21CK8S1</t>
  </si>
  <si>
    <t>GAROPABA</t>
  </si>
  <si>
    <t>M2070</t>
  </si>
  <si>
    <t>84:25:19:6B:61:DF //// User: Admin Senha: K@a(lo*S(%</t>
  </si>
  <si>
    <t xml:space="preserve">Redmi Note 9 M2004 </t>
  </si>
  <si>
    <t>celularesmaisinternet@gmail.com / capivara123  /// conta xiaomi senha xaBUM!3702 /// Tela trincada na parte superior</t>
  </si>
  <si>
    <t>TC180</t>
  </si>
  <si>
    <t>THC4120099</t>
  </si>
  <si>
    <t>NX CAMERAS</t>
  </si>
  <si>
    <t>CAMERAS</t>
  </si>
  <si>
    <t>Está como monitor de camera na NX</t>
  </si>
  <si>
    <t>THC4120117</t>
  </si>
  <si>
    <t>estoque</t>
  </si>
  <si>
    <t>THC4120091</t>
  </si>
  <si>
    <t>THC4120080</t>
  </si>
  <si>
    <t xml:space="preserve">  Lista de Periféricos Distribuido</t>
  </si>
  <si>
    <t>Data da Entrega do equipamento</t>
  </si>
  <si>
    <t>HEADSET</t>
  </si>
  <si>
    <t>Equip. entregue novo</t>
  </si>
  <si>
    <t>ACER</t>
  </si>
  <si>
    <t>Equip. entregue em perfeitas condições / semi novo</t>
  </si>
  <si>
    <t>FORTEK</t>
  </si>
  <si>
    <t>Desgastado</t>
  </si>
  <si>
    <t xml:space="preserve">KIT TECLADO E MOUSE </t>
  </si>
  <si>
    <t>LOGTECH</t>
  </si>
  <si>
    <t>LOGITECH</t>
  </si>
  <si>
    <t>MOUSE</t>
  </si>
  <si>
    <t>KIT TECLADO E MOUSE</t>
  </si>
  <si>
    <t>TECLADO</t>
  </si>
  <si>
    <t>KIT TECLADO E MOUSE WIRELESS</t>
  </si>
  <si>
    <t>ADAPTADOR RJ45 USB 3.0</t>
  </si>
  <si>
    <t>TP LINK</t>
  </si>
  <si>
    <t>ANDRESSA GUERRA</t>
  </si>
  <si>
    <t>Equip. entregue usado / Andressa</t>
  </si>
  <si>
    <t>Mouse</t>
  </si>
  <si>
    <t>Telefone RJ11</t>
  </si>
  <si>
    <t>Multilaser</t>
  </si>
  <si>
    <t>Moue</t>
  </si>
  <si>
    <t>DEIVID</t>
  </si>
  <si>
    <t>Teclado</t>
  </si>
  <si>
    <t>HYPERX</t>
  </si>
  <si>
    <t>MOCHILA</t>
  </si>
  <si>
    <t>GENERICO</t>
  </si>
  <si>
    <t>Telefone Intelbras TC20</t>
  </si>
  <si>
    <t>INTELBRAS</t>
  </si>
  <si>
    <t>Bruno José Soares</t>
  </si>
  <si>
    <t xml:space="preserve">TÉCNICO </t>
  </si>
  <si>
    <t>Bruno Ricardo Campos</t>
  </si>
  <si>
    <t>Ismael Fernando Soares</t>
  </si>
  <si>
    <t>João Leno Vareiro</t>
  </si>
  <si>
    <t>Ricardo da Silveira Soares</t>
  </si>
  <si>
    <t>Ronaldo Paes Martins</t>
  </si>
  <si>
    <t>Fellipe Garcia</t>
  </si>
  <si>
    <t>Suporte de Notebook</t>
  </si>
  <si>
    <t>Adaptador RJ45</t>
  </si>
  <si>
    <t>TP-LINK</t>
  </si>
  <si>
    <t>João Ricardo Santos Reis </t>
  </si>
  <si>
    <t>Controle de Equipamentos entregues</t>
  </si>
  <si>
    <t>Nome</t>
  </si>
  <si>
    <t>Data</t>
  </si>
  <si>
    <t>Marcos Vinicius</t>
  </si>
  <si>
    <t>Logitech</t>
  </si>
  <si>
    <t>Equipamento Usado</t>
  </si>
  <si>
    <t>Lista de Periféricos Disponíveis</t>
  </si>
  <si>
    <t>Quantidade</t>
  </si>
  <si>
    <t>Headset</t>
  </si>
  <si>
    <t>Intelbras headset RJ9</t>
  </si>
  <si>
    <t>Equipamento novo</t>
  </si>
  <si>
    <t>HyperX</t>
  </si>
  <si>
    <t>1 Orelha</t>
  </si>
  <si>
    <t>Headset Total</t>
  </si>
  <si>
    <t>Monitor Total</t>
  </si>
  <si>
    <t>Suporte para notebook</t>
  </si>
  <si>
    <t>GENÉRICO</t>
  </si>
  <si>
    <t>Mouse Novo</t>
  </si>
  <si>
    <t>Mouse Seminovo</t>
  </si>
  <si>
    <t>Mouse Total</t>
  </si>
  <si>
    <t>Mousepad</t>
  </si>
  <si>
    <t>Teclado Novo</t>
  </si>
  <si>
    <t>Teclado Seminovo</t>
  </si>
  <si>
    <t>Teclado Total</t>
  </si>
  <si>
    <t>Notebook Total</t>
  </si>
  <si>
    <t>USB HUB</t>
  </si>
  <si>
    <t>Adptador de rede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</si>
</sst>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scheme val="minor"/>
    </font>
    <font>
      <sz val="11"/>
      <color theme="1"/>
      <name val="Lato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Lato"/>
      <family val="2"/>
    </font>
    <font>
      <b/>
      <sz val="12"/>
      <color theme="0"/>
      <name val="Lato"/>
      <family val="2"/>
    </font>
    <font>
      <sz val="12"/>
      <color theme="1"/>
      <name val="Lato"/>
      <family val="2"/>
    </font>
    <font>
      <sz val="12"/>
      <color rgb="FF000000"/>
      <name val="Lato"/>
      <family val="2"/>
    </font>
    <font>
      <b/>
      <sz val="14"/>
      <color theme="1"/>
      <name val="Lato"/>
      <family val="2"/>
    </font>
    <font>
      <sz val="12"/>
      <name val="Lato"/>
      <family val="2"/>
    </font>
    <font>
      <b/>
      <sz val="11"/>
      <color theme="1"/>
      <name val="Lato"/>
      <family val="2"/>
    </font>
    <font>
      <sz val="12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14"/>
      <name val="Arial"/>
    </font>
    <font>
      <b/>
      <sz val="14"/>
      <color theme="1"/>
      <name val="Arial"/>
    </font>
    <font>
      <b/>
      <sz val="14"/>
      <color rgb="FF000000"/>
      <name val="Arial"/>
      <family val="2"/>
    </font>
    <font>
      <b/>
      <sz val="14"/>
      <color rgb="FF000000"/>
      <name val="Arial"/>
    </font>
    <font>
      <sz val="12"/>
      <color theme="1"/>
      <name val="Lato"/>
    </font>
    <font>
      <sz val="20"/>
      <color rgb="FFFFFFFF"/>
      <name val="Lato"/>
      <family val="2"/>
    </font>
    <font>
      <b/>
      <u/>
      <sz val="12"/>
      <color rgb="FF000000"/>
      <name val="Lato"/>
      <family val="2"/>
    </font>
    <font>
      <b/>
      <u/>
      <sz val="12"/>
      <color theme="1"/>
      <name val="Lato"/>
      <family val="2"/>
    </font>
    <font>
      <b/>
      <sz val="12"/>
      <color theme="1"/>
      <name val="Lato"/>
      <family val="2"/>
    </font>
    <font>
      <b/>
      <u/>
      <sz val="11"/>
      <color theme="10"/>
      <name val="Calibri"/>
      <family val="2"/>
      <scheme val="minor"/>
    </font>
    <font>
      <sz val="12"/>
      <color rgb="FF444444"/>
      <name val="Calibri"/>
      <family val="2"/>
      <charset val="1"/>
    </font>
    <font>
      <sz val="11"/>
      <color rgb="FF000000"/>
      <name val="Calibri"/>
      <family val="2"/>
      <scheme val="minor"/>
    </font>
    <font>
      <sz val="12"/>
      <color theme="10"/>
      <name val="Lato"/>
      <family val="2"/>
    </font>
    <font>
      <b/>
      <sz val="14"/>
      <color rgb="FF000000"/>
      <name val="Aptos Narrow"/>
      <family val="2"/>
    </font>
    <font>
      <sz val="11"/>
      <color rgb="FF000000"/>
      <name val="Aptos Narrow"/>
      <family val="2"/>
    </font>
    <font>
      <sz val="12"/>
      <color theme="1"/>
      <name val="Arial"/>
    </font>
  </fonts>
  <fills count="20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rgb="FF70AD47"/>
      </patternFill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rgb="FFD6DCE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0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0" borderId="0" xfId="0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3" fillId="0" borderId="0" xfId="0" applyFont="1"/>
    <xf numFmtId="0" fontId="8" fillId="0" borderId="0" xfId="0" applyFont="1" applyAlignment="1">
      <alignment horizontal="center" vertical="center"/>
    </xf>
    <xf numFmtId="0" fontId="3" fillId="7" borderId="0" xfId="0" applyFont="1" applyFill="1"/>
    <xf numFmtId="0" fontId="3" fillId="4" borderId="0" xfId="0" applyFont="1" applyFill="1"/>
    <xf numFmtId="0" fontId="4" fillId="7" borderId="0" xfId="0" applyFont="1" applyFill="1" applyAlignment="1">
      <alignment horizontal="center" vertical="center"/>
    </xf>
    <xf numFmtId="0" fontId="1" fillId="7" borderId="0" xfId="0" applyFont="1" applyFill="1"/>
    <xf numFmtId="0" fontId="10" fillId="7" borderId="0" xfId="0" applyFont="1" applyFill="1"/>
    <xf numFmtId="0" fontId="10" fillId="4" borderId="0" xfId="0" applyFont="1" applyFill="1"/>
    <xf numFmtId="0" fontId="10" fillId="4" borderId="0" xfId="0" applyFont="1" applyFill="1" applyAlignment="1">
      <alignment horizontal="center" vertical="center"/>
    </xf>
    <xf numFmtId="0" fontId="10" fillId="0" borderId="0" xfId="0" applyFont="1"/>
    <xf numFmtId="0" fontId="1" fillId="0" borderId="0" xfId="0" applyFont="1"/>
    <xf numFmtId="0" fontId="10" fillId="6" borderId="0" xfId="0" applyFont="1" applyFill="1"/>
    <xf numFmtId="0" fontId="6" fillId="0" borderId="0" xfId="0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wrapText="1"/>
    </xf>
    <xf numFmtId="0" fontId="13" fillId="0" borderId="0" xfId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 indent="1"/>
    </xf>
    <xf numFmtId="0" fontId="14" fillId="0" borderId="0" xfId="0" quotePrefix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8" borderId="0" xfId="0" applyFill="1"/>
    <xf numFmtId="0" fontId="2" fillId="0" borderId="0" xfId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9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19" fillId="10" borderId="5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20" fillId="10" borderId="2" xfId="0" applyFont="1" applyFill="1" applyBorder="1" applyAlignment="1">
      <alignment horizontal="center" vertical="center"/>
    </xf>
    <xf numFmtId="0" fontId="21" fillId="10" borderId="5" xfId="0" applyFont="1" applyFill="1" applyBorder="1" applyAlignment="1">
      <alignment horizontal="center" vertical="center"/>
    </xf>
    <xf numFmtId="0" fontId="21" fillId="10" borderId="2" xfId="0" applyFont="1" applyFill="1" applyBorder="1" applyAlignment="1">
      <alignment horizontal="center" vertical="center"/>
    </xf>
    <xf numFmtId="0" fontId="22" fillId="10" borderId="2" xfId="1" applyFont="1" applyFill="1" applyBorder="1" applyAlignment="1">
      <alignment horizontal="center" vertical="center"/>
    </xf>
    <xf numFmtId="0" fontId="21" fillId="10" borderId="6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20" fillId="10" borderId="6" xfId="0" applyFont="1" applyFill="1" applyBorder="1" applyAlignment="1">
      <alignment horizontal="center" vertical="center"/>
    </xf>
    <xf numFmtId="0" fontId="21" fillId="10" borderId="6" xfId="1" applyFont="1" applyFill="1" applyBorder="1" applyAlignment="1">
      <alignment horizontal="center" vertical="center"/>
    </xf>
    <xf numFmtId="0" fontId="20" fillId="10" borderId="6" xfId="0" quotePrefix="1" applyFont="1" applyFill="1" applyBorder="1" applyAlignment="1">
      <alignment horizontal="center" vertical="center"/>
    </xf>
    <xf numFmtId="0" fontId="2" fillId="0" borderId="0" xfId="1" applyAlignment="1">
      <alignment horizontal="center" vertical="center" inden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10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7" fillId="10" borderId="6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2" fillId="9" borderId="0" xfId="1" applyFill="1" applyAlignment="1">
      <alignment horizontal="center" vertical="center"/>
    </xf>
    <xf numFmtId="0" fontId="24" fillId="9" borderId="0" xfId="1" applyFont="1" applyFill="1" applyAlignment="1">
      <alignment horizontal="center" vertical="center"/>
    </xf>
    <xf numFmtId="0" fontId="25" fillId="9" borderId="0" xfId="1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 wrapText="1"/>
    </xf>
    <xf numFmtId="0" fontId="16" fillId="0" borderId="0" xfId="0" quotePrefix="1" applyFont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0" fillId="7" borderId="0" xfId="0" applyFill="1" applyAlignment="1">
      <alignment vertical="center"/>
    </xf>
    <xf numFmtId="0" fontId="0" fillId="0" borderId="0" xfId="0" applyAlignment="1">
      <alignment vertical="center"/>
    </xf>
    <xf numFmtId="0" fontId="2" fillId="0" borderId="0" xfId="1" applyAlignment="1">
      <alignment horizontal="center" vertical="center" wrapText="1"/>
    </xf>
    <xf numFmtId="0" fontId="7" fillId="9" borderId="0" xfId="1" applyFont="1" applyFill="1" applyAlignment="1">
      <alignment horizontal="center" vertical="center"/>
    </xf>
    <xf numFmtId="0" fontId="2" fillId="0" borderId="0" xfId="1" applyAlignment="1">
      <alignment horizontal="center"/>
    </xf>
    <xf numFmtId="0" fontId="0" fillId="13" borderId="0" xfId="0" applyFill="1" applyAlignment="1">
      <alignment horizontal="center" vertical="center"/>
    </xf>
    <xf numFmtId="0" fontId="1" fillId="14" borderId="0" xfId="0" applyFont="1" applyFill="1"/>
    <xf numFmtId="14" fontId="0" fillId="13" borderId="0" xfId="0" applyNumberForma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14" fontId="0" fillId="15" borderId="0" xfId="0" applyNumberFormat="1" applyFill="1" applyAlignment="1">
      <alignment horizontal="center" vertical="center"/>
    </xf>
    <xf numFmtId="0" fontId="26" fillId="16" borderId="8" xfId="0" applyFont="1" applyFill="1" applyBorder="1"/>
    <xf numFmtId="0" fontId="27" fillId="17" borderId="9" xfId="0" applyFont="1" applyFill="1" applyBorder="1"/>
    <xf numFmtId="0" fontId="27" fillId="17" borderId="9" xfId="0" applyFont="1" applyFill="1" applyBorder="1" applyAlignment="1">
      <alignment wrapText="1"/>
    </xf>
    <xf numFmtId="0" fontId="27" fillId="0" borderId="9" xfId="0" applyFont="1" applyBorder="1"/>
    <xf numFmtId="0" fontId="27" fillId="0" borderId="0" xfId="0" applyFont="1" applyAlignment="1">
      <alignment wrapText="1"/>
    </xf>
    <xf numFmtId="0" fontId="27" fillId="0" borderId="9" xfId="0" applyFont="1" applyBorder="1" applyAlignment="1">
      <alignment wrapText="1"/>
    </xf>
    <xf numFmtId="0" fontId="27" fillId="17" borderId="9" xfId="0" applyFont="1" applyFill="1" applyBorder="1" applyAlignment="1">
      <alignment horizontal="center"/>
    </xf>
    <xf numFmtId="14" fontId="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2" borderId="10" xfId="0" applyFont="1" applyFill="1" applyBorder="1" applyAlignment="1">
      <alignment horizontal="center" vertical="center"/>
    </xf>
    <xf numFmtId="0" fontId="2" fillId="12" borderId="2" xfId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  <xf numFmtId="0" fontId="2" fillId="18" borderId="2" xfId="1" applyFill="1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/>
    </xf>
    <xf numFmtId="0" fontId="2" fillId="9" borderId="10" xfId="1" applyFill="1" applyBorder="1" applyAlignment="1">
      <alignment horizontal="center" vertical="center"/>
    </xf>
    <xf numFmtId="0" fontId="23" fillId="10" borderId="2" xfId="0" quotePrefix="1" applyFont="1" applyFill="1" applyBorder="1" applyAlignment="1">
      <alignment horizontal="center"/>
    </xf>
    <xf numFmtId="0" fontId="2" fillId="10" borderId="2" xfId="1" applyFill="1" applyBorder="1" applyAlignment="1">
      <alignment horizontal="center" vertical="center"/>
    </xf>
    <xf numFmtId="0" fontId="25" fillId="0" borderId="0" xfId="1" applyFont="1" applyAlignment="1">
      <alignment horizontal="center" vertical="center"/>
    </xf>
    <xf numFmtId="0" fontId="2" fillId="0" borderId="0" xfId="2" applyFill="1" applyAlignment="1">
      <alignment horizontal="center"/>
    </xf>
    <xf numFmtId="0" fontId="6" fillId="19" borderId="0" xfId="1" applyFont="1" applyFill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25" fillId="0" borderId="0" xfId="2" applyFont="1" applyFill="1" applyAlignment="1">
      <alignment horizontal="center" vertical="center"/>
    </xf>
    <xf numFmtId="0" fontId="2" fillId="9" borderId="0" xfId="2" applyFill="1" applyAlignment="1">
      <alignment horizontal="center" vertical="center"/>
    </xf>
    <xf numFmtId="0" fontId="18" fillId="7" borderId="0" xfId="0" applyFont="1" applyFill="1" applyAlignment="1">
      <alignment horizontal="center" vertical="center"/>
    </xf>
  </cellXfs>
  <cellStyles count="3">
    <cellStyle name="Hiperlink" xfId="1" builtinId="8"/>
    <cellStyle name="Hyperlink" xfId="2" xr:uid="{00000000-000B-0000-0000-000008000000}"/>
    <cellStyle name="Normal" xfId="0" builtinId="0"/>
  </cellStyles>
  <dxfs count="39"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Lato"/>
        <family val="2"/>
        <scheme val="none"/>
      </font>
      <fill>
        <patternFill patternType="solid">
          <fgColor rgb="FF70AD47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Lato"/>
        <family val="2"/>
        <scheme val="none"/>
      </font>
      <fill>
        <patternFill patternType="solid">
          <fgColor rgb="FF70AD47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Lato"/>
        <family val="2"/>
        <scheme val="none"/>
      </font>
      <fill>
        <patternFill patternType="solid">
          <fgColor rgb="FF70AD47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ato"/>
        <family val="2"/>
        <scheme val="none"/>
      </font>
      <fill>
        <patternFill patternType="solid">
          <fgColor theme="5" tint="0.59999389629810485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1"/>
        <name val="Lato"/>
        <family val="2"/>
        <scheme val="none"/>
      </font>
      <fill>
        <patternFill patternType="solid">
          <fgColor theme="5" tint="0.59999389629810485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1"/>
        <name val="Lato"/>
        <family val="2"/>
        <scheme val="none"/>
      </font>
      <fill>
        <patternFill patternType="solid">
          <fgColor theme="5" tint="0.59999389629810485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ato"/>
        <family val="2"/>
        <scheme val="none"/>
      </font>
      <fill>
        <patternFill patternType="solid">
          <fgColor theme="5" tint="0.59999389629810485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ato"/>
        <family val="2"/>
        <scheme val="none"/>
      </font>
      <fill>
        <patternFill patternType="solid">
          <fgColor theme="5" tint="0.59999389629810485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ato"/>
        <family val="2"/>
        <scheme val="none"/>
      </font>
      <fill>
        <patternFill patternType="solid">
          <fgColor theme="5" tint="0.59999389629810485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ato"/>
        <family val="2"/>
        <scheme val="none"/>
      </font>
      <fill>
        <patternFill patternType="solid">
          <fgColor theme="5" tint="0.59999389629810485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ato"/>
        <family val="2"/>
        <scheme val="none"/>
      </font>
      <fill>
        <patternFill patternType="solid">
          <fgColor theme="5" tint="0.59999389629810485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Lato"/>
        <family val="2"/>
        <scheme val="none"/>
      </font>
      <fill>
        <patternFill patternType="solid">
          <fgColor theme="5" tint="0.59999389629810485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Lato"/>
        <family val="2"/>
        <scheme val="none"/>
      </font>
      <fill>
        <patternFill patternType="solid">
          <fgColor indexed="64"/>
          <bgColor rgb="FFFFF2CC"/>
        </patternFill>
      </fill>
      <alignment horizontal="center" vertical="center"/>
    </dxf>
    <dxf>
      <font>
        <strike val="0"/>
        <outline val="0"/>
        <shadow val="0"/>
        <u val="none"/>
        <vertAlign val="baseline"/>
        <sz val="12"/>
        <name val="Lato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ato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ato"/>
        <family val="2"/>
        <scheme val="none"/>
      </font>
      <alignment horizontal="center" vertical="center"/>
    </dxf>
    <dxf>
      <font>
        <strike val="0"/>
        <outline val="0"/>
        <shadow val="0"/>
        <u val="none"/>
        <vertAlign val="baseline"/>
        <sz val="12"/>
        <name val="Lato"/>
        <family val="2"/>
        <scheme val="none"/>
      </font>
      <alignment horizontal="center" vertical="center"/>
    </dxf>
    <dxf>
      <font>
        <strike val="0"/>
        <outline val="0"/>
        <shadow val="0"/>
        <u val="none"/>
        <vertAlign val="baseline"/>
        <sz val="12"/>
        <name val="Lato"/>
        <family val="2"/>
        <scheme val="none"/>
      </font>
      <alignment horizontal="center" vertical="center"/>
    </dxf>
    <dxf>
      <font>
        <strike val="0"/>
        <outline val="0"/>
        <shadow val="0"/>
        <u val="none"/>
        <vertAlign val="baseline"/>
        <sz val="12"/>
        <name val="Lato"/>
        <family val="2"/>
        <scheme val="none"/>
      </font>
      <alignment horizontal="center" vertical="center"/>
    </dxf>
    <dxf>
      <font>
        <strike val="0"/>
        <outline val="0"/>
        <shadow val="0"/>
        <u val="none"/>
        <vertAlign val="baseline"/>
        <sz val="12"/>
        <name val="Lato"/>
        <family val="2"/>
        <scheme val="none"/>
      </font>
      <alignment horizontal="center" vertical="center"/>
    </dxf>
    <dxf>
      <font>
        <strike val="0"/>
        <outline val="0"/>
        <shadow val="0"/>
        <u val="none"/>
        <vertAlign val="baseline"/>
        <sz val="12"/>
        <name val="Lato"/>
        <family val="2"/>
        <scheme val="none"/>
      </font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Lato"/>
        <family val="2"/>
        <scheme val="none"/>
      </font>
      <fill>
        <patternFill patternType="solid">
          <fgColor rgb="FF70AD47"/>
          <bgColor theme="2" tint="-0.49998474074526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outline val="0"/>
        <shadow val="0"/>
        <u val="none"/>
        <vertAlign val="baseline"/>
        <sz val="14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outline val="0"/>
        <shadow val="0"/>
        <u val="none"/>
        <vertAlign val="baseline"/>
        <sz val="14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name val="Arial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Lato"/>
        <family val="2"/>
        <scheme val="none"/>
      </font>
      <fill>
        <patternFill patternType="solid">
          <fgColor indexed="64"/>
          <bgColor theme="2" tint="-0.74999237037263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Funcion&#225;rios!A1"/><Relationship Id="rId2" Type="http://schemas.openxmlformats.org/officeDocument/2006/relationships/hyperlink" Target="https://contabletip.blogspot.com/2019/02/ejercicio-siniestro-de-inventario.html" TargetMode="External"/><Relationship Id="rId1" Type="http://schemas.openxmlformats.org/officeDocument/2006/relationships/image" Target="../media/image1.jpg"/><Relationship Id="rId5" Type="http://schemas.openxmlformats.org/officeDocument/2006/relationships/hyperlink" Target="#Setor!A1"/><Relationship Id="rId4" Type="http://schemas.openxmlformats.org/officeDocument/2006/relationships/hyperlink" Target="#Equipamento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hyperlink" Target="#Equipamentos!A1"/><Relationship Id="rId1" Type="http://schemas.openxmlformats.org/officeDocument/2006/relationships/hyperlink" Target="#Setor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Equipamentos!A1"/><Relationship Id="rId2" Type="http://schemas.openxmlformats.org/officeDocument/2006/relationships/hyperlink" Target="#Funcion&#225;rios!A1"/><Relationship Id="rId1" Type="http://schemas.openxmlformats.org/officeDocument/2006/relationships/hyperlink" Target="#Menu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Setor!A1"/><Relationship Id="rId2" Type="http://schemas.openxmlformats.org/officeDocument/2006/relationships/hyperlink" Target="#Funcion&#225;rios!A1"/><Relationship Id="rId1" Type="http://schemas.openxmlformats.org/officeDocument/2006/relationships/hyperlink" Target="#Menu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Equipamentos!A1"/><Relationship Id="rId2" Type="http://schemas.openxmlformats.org/officeDocument/2006/relationships/hyperlink" Target="#Funcion&#225;rios!A1"/><Relationship Id="rId1" Type="http://schemas.openxmlformats.org/officeDocument/2006/relationships/hyperlink" Target="#Menu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</xdr:colOff>
      <xdr:row>2</xdr:row>
      <xdr:rowOff>76201</xdr:rowOff>
    </xdr:from>
    <xdr:to>
      <xdr:col>18</xdr:col>
      <xdr:colOff>183386</xdr:colOff>
      <xdr:row>29</xdr:row>
      <xdr:rowOff>47625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1ACA1F3-1630-4417-9558-0BD59C48D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24000"/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9524" y="781051"/>
          <a:ext cx="11146662" cy="5705474"/>
        </a:xfrm>
        <a:prstGeom prst="rect">
          <a:avLst/>
        </a:prstGeom>
      </xdr:spPr>
    </xdr:pic>
    <xdr:clientData/>
  </xdr:twoCellAnchor>
  <xdr:oneCellAnchor>
    <xdr:from>
      <xdr:col>0</xdr:col>
      <xdr:colOff>38100</xdr:colOff>
      <xdr:row>21</xdr:row>
      <xdr:rowOff>85725</xdr:rowOff>
    </xdr:from>
    <xdr:ext cx="6019800" cy="233205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F617F5FB-4EB4-40FE-B8A0-4A10662D60E1}"/>
            </a:ext>
          </a:extLst>
        </xdr:cNvPr>
        <xdr:cNvSpPr txBox="1"/>
      </xdr:nvSpPr>
      <xdr:spPr>
        <a:xfrm>
          <a:off x="38100" y="4276725"/>
          <a:ext cx="6019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900"/>
        </a:p>
      </xdr:txBody>
    </xdr:sp>
    <xdr:clientData/>
  </xdr:oneCellAnchor>
  <xdr:oneCellAnchor>
    <xdr:from>
      <xdr:col>0</xdr:col>
      <xdr:colOff>323850</xdr:colOff>
      <xdr:row>1</xdr:row>
      <xdr:rowOff>9525</xdr:rowOff>
    </xdr:from>
    <xdr:ext cx="6915150" cy="43815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54798B4D-534F-422F-8388-B3015076B93A}"/>
            </a:ext>
          </a:extLst>
        </xdr:cNvPr>
        <xdr:cNvSpPr txBox="1"/>
      </xdr:nvSpPr>
      <xdr:spPr>
        <a:xfrm>
          <a:off x="323850" y="238125"/>
          <a:ext cx="6915150" cy="438150"/>
        </a:xfrm>
        <a:prstGeom prst="rect">
          <a:avLst/>
        </a:prstGeom>
        <a:solidFill>
          <a:schemeClr val="tx2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2400" b="1">
              <a:solidFill>
                <a:schemeClr val="bg1"/>
              </a:solidFill>
              <a:latin typeface="Lato" panose="020F0502020204030203" pitchFamily="34" charset="0"/>
              <a:ea typeface="Lato" panose="020F0502020204030203" pitchFamily="34" charset="0"/>
              <a:cs typeface="Lato" panose="020F0502020204030203" pitchFamily="34" charset="0"/>
            </a:rPr>
            <a:t>Controle de Equipamentos de TI</a:t>
          </a:r>
        </a:p>
      </xdr:txBody>
    </xdr:sp>
    <xdr:clientData/>
  </xdr:oneCellAnchor>
  <xdr:twoCellAnchor>
    <xdr:from>
      <xdr:col>2</xdr:col>
      <xdr:colOff>57150</xdr:colOff>
      <xdr:row>5</xdr:row>
      <xdr:rowOff>180975</xdr:rowOff>
    </xdr:from>
    <xdr:to>
      <xdr:col>5</xdr:col>
      <xdr:colOff>171450</xdr:colOff>
      <xdr:row>7</xdr:row>
      <xdr:rowOff>209550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04DFDBD-D604-4096-952D-C3FFC734A15C}"/>
            </a:ext>
          </a:extLst>
        </xdr:cNvPr>
        <xdr:cNvSpPr/>
      </xdr:nvSpPr>
      <xdr:spPr>
        <a:xfrm>
          <a:off x="1276350" y="1438275"/>
          <a:ext cx="1943100" cy="485775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ysClr val="windowText" lastClr="000000"/>
              </a:solidFill>
              <a:latin typeface="Lato" panose="020F0502020204030203" pitchFamily="34" charset="0"/>
              <a:ea typeface="Lato" panose="020F0502020204030203" pitchFamily="34" charset="0"/>
              <a:cs typeface="Lato" panose="020F0502020204030203" pitchFamily="34" charset="0"/>
            </a:rPr>
            <a:t>Funcionarios</a:t>
          </a:r>
        </a:p>
      </xdr:txBody>
    </xdr:sp>
    <xdr:clientData/>
  </xdr:twoCellAnchor>
  <xdr:twoCellAnchor>
    <xdr:from>
      <xdr:col>6</xdr:col>
      <xdr:colOff>19050</xdr:colOff>
      <xdr:row>5</xdr:row>
      <xdr:rowOff>180976</xdr:rowOff>
    </xdr:from>
    <xdr:to>
      <xdr:col>9</xdr:col>
      <xdr:colOff>142875</xdr:colOff>
      <xdr:row>10</xdr:row>
      <xdr:rowOff>200026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38F199F-9310-4147-A169-EE64D2F1F315}"/>
            </a:ext>
            <a:ext uri="{147F2762-F138-4A5C-976F-8EAC2B608ADB}">
              <a16:predDERef xmlns:a16="http://schemas.microsoft.com/office/drawing/2014/main" pred="{B04DFDBD-D604-4096-952D-C3FFC734A15C}"/>
            </a:ext>
          </a:extLst>
        </xdr:cNvPr>
        <xdr:cNvSpPr/>
      </xdr:nvSpPr>
      <xdr:spPr>
        <a:xfrm>
          <a:off x="3676650" y="1438276"/>
          <a:ext cx="1952625" cy="1162050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1"/>
              </a:solidFill>
              <a:latin typeface="Lato" panose="020F0502020204030203" pitchFamily="34" charset="0"/>
              <a:ea typeface="Lato" panose="020F0502020204030203" pitchFamily="34" charset="0"/>
              <a:cs typeface="Lato" panose="020F0502020204030203" pitchFamily="34" charset="0"/>
            </a:rPr>
            <a:t>Equipamentos em uso</a:t>
          </a:r>
        </a:p>
      </xdr:txBody>
    </xdr:sp>
    <xdr:clientData/>
  </xdr:twoCellAnchor>
  <xdr:twoCellAnchor>
    <xdr:from>
      <xdr:col>2</xdr:col>
      <xdr:colOff>47625</xdr:colOff>
      <xdr:row>8</xdr:row>
      <xdr:rowOff>161925</xdr:rowOff>
    </xdr:from>
    <xdr:to>
      <xdr:col>5</xdr:col>
      <xdr:colOff>161925</xdr:colOff>
      <xdr:row>10</xdr:row>
      <xdr:rowOff>190500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0190220-47A1-4103-B0DE-104E7078184D}"/>
            </a:ext>
            <a:ext uri="{147F2762-F138-4A5C-976F-8EAC2B608ADB}">
              <a16:predDERef xmlns:a16="http://schemas.microsoft.com/office/drawing/2014/main" pred="{038F199F-9310-4147-A169-EE64D2F1F315}"/>
            </a:ext>
          </a:extLst>
        </xdr:cNvPr>
        <xdr:cNvSpPr/>
      </xdr:nvSpPr>
      <xdr:spPr>
        <a:xfrm>
          <a:off x="1266825" y="2105025"/>
          <a:ext cx="1943100" cy="485775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n-US" sz="1600" b="1" i="0" u="none" strike="noStrike">
            <a:solidFill>
              <a:schemeClr val="tx1"/>
            </a:solidFill>
            <a:latin typeface="Lato" panose="020F0502020204030203" pitchFamily="34" charset="0"/>
            <a:ea typeface="Lato" panose="020F0502020204030203" pitchFamily="34" charset="0"/>
            <a:cs typeface="Lato" panose="020F0502020204030203" pitchFamily="34" charset="0"/>
          </a:endParaRPr>
        </a:p>
        <a:p>
          <a:pPr marL="0" indent="0" algn="ctr"/>
          <a:r>
            <a:rPr lang="en-US" sz="1600" b="1">
              <a:solidFill>
                <a:schemeClr val="tx1"/>
              </a:solidFill>
              <a:latin typeface="Lato" panose="020F0502020204030203" pitchFamily="34" charset="0"/>
              <a:ea typeface="Lato" panose="020F0502020204030203" pitchFamily="34" charset="0"/>
              <a:cs typeface="Lato" panose="020F0502020204030203" pitchFamily="34" charset="0"/>
            </a:rPr>
            <a:t>Setores</a:t>
          </a:r>
        </a:p>
        <a:p>
          <a:pPr marL="0" indent="0" algn="ctr"/>
          <a:endParaRPr lang="en-US" sz="1600" b="1">
            <a:solidFill>
              <a:schemeClr val="tx1"/>
            </a:solidFill>
            <a:latin typeface="Lato" panose="020F0502020204030203" pitchFamily="34" charset="0"/>
            <a:ea typeface="Lato" panose="020F0502020204030203" pitchFamily="34" charset="0"/>
            <a:cs typeface="Lato" panose="020F050202020403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2486025</xdr:colOff>
      <xdr:row>1</xdr:row>
      <xdr:rowOff>28575</xdr:rowOff>
    </xdr:from>
    <xdr:to>
      <xdr:col>2</xdr:col>
      <xdr:colOff>1009650</xdr:colOff>
      <xdr:row>1</xdr:row>
      <xdr:rowOff>419100</xdr:rowOff>
    </xdr:to>
    <xdr:sp macro="" textlink="">
      <xdr:nvSpPr>
        <xdr:cNvPr id="8" name="Retângulo: Cantos Arredondado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19541C-FCD2-4974-8D4B-2B20BFF0B45E}"/>
            </a:ext>
          </a:extLst>
        </xdr:cNvPr>
        <xdr:cNvSpPr/>
      </xdr:nvSpPr>
      <xdr:spPr>
        <a:xfrm>
          <a:off x="5791200" y="257175"/>
          <a:ext cx="1590675" cy="3905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Setores</a:t>
          </a:r>
        </a:p>
      </xdr:txBody>
    </xdr:sp>
    <xdr:clientData/>
  </xdr:twoCellAnchor>
  <xdr:twoCellAnchor>
    <xdr:from>
      <xdr:col>2</xdr:col>
      <xdr:colOff>1762125</xdr:colOff>
      <xdr:row>1</xdr:row>
      <xdr:rowOff>38100</xdr:rowOff>
    </xdr:from>
    <xdr:to>
      <xdr:col>2</xdr:col>
      <xdr:colOff>3314700</xdr:colOff>
      <xdr:row>1</xdr:row>
      <xdr:rowOff>438150</xdr:rowOff>
    </xdr:to>
    <xdr:sp macro="" textlink="">
      <xdr:nvSpPr>
        <xdr:cNvPr id="9" name="Retângulo: Cantos Arredondados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88A718-5F13-4D0B-B9F6-0C757AD4FEC7}"/>
            </a:ext>
            <a:ext uri="{147F2762-F138-4A5C-976F-8EAC2B608ADB}">
              <a16:predDERef xmlns:a16="http://schemas.microsoft.com/office/drawing/2014/main" pred="{2519541C-FCD2-4974-8D4B-2B20BFF0B45E}"/>
            </a:ext>
          </a:extLst>
        </xdr:cNvPr>
        <xdr:cNvSpPr/>
      </xdr:nvSpPr>
      <xdr:spPr>
        <a:xfrm>
          <a:off x="8134350" y="266700"/>
          <a:ext cx="1552575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>
              <a:solidFill>
                <a:schemeClr val="lt1"/>
              </a:solidFill>
              <a:latin typeface="+mn-lt"/>
              <a:ea typeface="+mn-lt"/>
              <a:cs typeface="+mn-lt"/>
            </a:rPr>
            <a:t>Equipamentos</a:t>
          </a:r>
        </a:p>
      </xdr:txBody>
    </xdr:sp>
    <xdr:clientData/>
  </xdr:twoCellAnchor>
  <xdr:twoCellAnchor>
    <xdr:from>
      <xdr:col>1</xdr:col>
      <xdr:colOff>9525</xdr:colOff>
      <xdr:row>1</xdr:row>
      <xdr:rowOff>28575</xdr:rowOff>
    </xdr:from>
    <xdr:to>
      <xdr:col>1</xdr:col>
      <xdr:colOff>1609725</xdr:colOff>
      <xdr:row>1</xdr:row>
      <xdr:rowOff>419100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BBEB9C5-DF74-4F0E-B505-B781F29FE291}"/>
            </a:ext>
            <a:ext uri="{147F2762-F138-4A5C-976F-8EAC2B608ADB}">
              <a16:predDERef xmlns:a16="http://schemas.microsoft.com/office/drawing/2014/main" pred="{C788A718-5F13-4D0B-B9F6-0C757AD4FEC7}"/>
            </a:ext>
          </a:extLst>
        </xdr:cNvPr>
        <xdr:cNvSpPr/>
      </xdr:nvSpPr>
      <xdr:spPr>
        <a:xfrm>
          <a:off x="3314700" y="257175"/>
          <a:ext cx="1600200" cy="3905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Menu Principal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3276599</xdr:colOff>
      <xdr:row>1</xdr:row>
      <xdr:rowOff>0</xdr:rowOff>
    </xdr:from>
    <xdr:to>
      <xdr:col>1</xdr:col>
      <xdr:colOff>876298</xdr:colOff>
      <xdr:row>1</xdr:row>
      <xdr:rowOff>400050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4039DE-16B0-4CC3-B2DB-5D173CA64BB9}"/>
            </a:ext>
          </a:extLst>
        </xdr:cNvPr>
        <xdr:cNvSpPr/>
      </xdr:nvSpPr>
      <xdr:spPr>
        <a:xfrm>
          <a:off x="3276599" y="190500"/>
          <a:ext cx="1714499" cy="400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Menu Principal</a:t>
          </a:r>
        </a:p>
      </xdr:txBody>
    </xdr:sp>
    <xdr:clientData/>
  </xdr:twoCellAnchor>
  <xdr:twoCellAnchor>
    <xdr:from>
      <xdr:col>1</xdr:col>
      <xdr:colOff>904876</xdr:colOff>
      <xdr:row>1</xdr:row>
      <xdr:rowOff>0</xdr:rowOff>
    </xdr:from>
    <xdr:to>
      <xdr:col>1</xdr:col>
      <xdr:colOff>2447926</xdr:colOff>
      <xdr:row>1</xdr:row>
      <xdr:rowOff>409575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58345D6-66C2-45C2-AECA-7ACC806B887D}"/>
            </a:ext>
          </a:extLst>
        </xdr:cNvPr>
        <xdr:cNvSpPr/>
      </xdr:nvSpPr>
      <xdr:spPr>
        <a:xfrm>
          <a:off x="5019676" y="190500"/>
          <a:ext cx="1543050" cy="4095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Funcionários</a:t>
          </a:r>
        </a:p>
      </xdr:txBody>
    </xdr:sp>
    <xdr:clientData/>
  </xdr:twoCellAnchor>
  <xdr:twoCellAnchor>
    <xdr:from>
      <xdr:col>1</xdr:col>
      <xdr:colOff>2476500</xdr:colOff>
      <xdr:row>1</xdr:row>
      <xdr:rowOff>0</xdr:rowOff>
    </xdr:from>
    <xdr:to>
      <xdr:col>2</xdr:col>
      <xdr:colOff>390525</xdr:colOff>
      <xdr:row>1</xdr:row>
      <xdr:rowOff>409575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3D66C10-2618-401C-B6E1-E6B6D8292212}"/>
            </a:ext>
            <a:ext uri="{147F2762-F138-4A5C-976F-8EAC2B608ADB}">
              <a16:predDERef xmlns:a16="http://schemas.microsoft.com/office/drawing/2014/main" pred="{058345D6-66C2-45C2-AECA-7ACC806B887D}"/>
            </a:ext>
          </a:extLst>
        </xdr:cNvPr>
        <xdr:cNvSpPr/>
      </xdr:nvSpPr>
      <xdr:spPr>
        <a:xfrm>
          <a:off x="6457950" y="228600"/>
          <a:ext cx="1971675" cy="4095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n-US" sz="1400" b="0" i="0" u="none" strike="noStrike">
            <a:solidFill>
              <a:schemeClr val="lt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ctr"/>
          <a:r>
            <a:rPr lang="en-US" sz="1400">
              <a:solidFill>
                <a:schemeClr val="lt1"/>
              </a:solidFill>
              <a:latin typeface="+mn-lt"/>
              <a:ea typeface="+mn-lt"/>
              <a:cs typeface="+mn-lt"/>
            </a:rPr>
            <a:t>Equipamentos</a:t>
          </a:r>
        </a:p>
        <a:p>
          <a:pPr marL="0" indent="0" algn="ctr"/>
          <a:endParaRPr lang="en-US" sz="14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1</xdr:row>
      <xdr:rowOff>38101</xdr:rowOff>
    </xdr:from>
    <xdr:to>
      <xdr:col>1</xdr:col>
      <xdr:colOff>847725</xdr:colOff>
      <xdr:row>1</xdr:row>
      <xdr:rowOff>419100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63DD5A-1220-4EFB-9860-9717CE4D6E7E}"/>
            </a:ext>
          </a:extLst>
        </xdr:cNvPr>
        <xdr:cNvSpPr/>
      </xdr:nvSpPr>
      <xdr:spPr>
        <a:xfrm>
          <a:off x="438150" y="228601"/>
          <a:ext cx="1704975" cy="38099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400">
              <a:solidFill>
                <a:schemeClr val="lt1"/>
              </a:solidFill>
              <a:latin typeface="Loto"/>
            </a:rPr>
            <a:t>Menu principal</a:t>
          </a:r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</xdr:col>
      <xdr:colOff>1019175</xdr:colOff>
      <xdr:row>1</xdr:row>
      <xdr:rowOff>38100</xdr:rowOff>
    </xdr:from>
    <xdr:to>
      <xdr:col>3</xdr:col>
      <xdr:colOff>495300</xdr:colOff>
      <xdr:row>1</xdr:row>
      <xdr:rowOff>419100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606C495-353D-4435-8DFB-A681DBB11CA5}"/>
            </a:ext>
            <a:ext uri="{147F2762-F138-4A5C-976F-8EAC2B608ADB}">
              <a16:predDERef xmlns:a16="http://schemas.microsoft.com/office/drawing/2014/main" pred="{BE63DD5A-1220-4EFB-9860-9717CE4D6E7E}"/>
            </a:ext>
          </a:extLst>
        </xdr:cNvPr>
        <xdr:cNvSpPr/>
      </xdr:nvSpPr>
      <xdr:spPr>
        <a:xfrm>
          <a:off x="2314575" y="228600"/>
          <a:ext cx="178117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lt"/>
              <a:cs typeface="+mn-lt"/>
            </a:rPr>
            <a:t>Funcionários</a:t>
          </a:r>
        </a:p>
      </xdr:txBody>
    </xdr:sp>
    <xdr:clientData/>
  </xdr:twoCellAnchor>
  <xdr:twoCellAnchor>
    <xdr:from>
      <xdr:col>3</xdr:col>
      <xdr:colOff>638175</xdr:colOff>
      <xdr:row>1</xdr:row>
      <xdr:rowOff>28575</xdr:rowOff>
    </xdr:from>
    <xdr:to>
      <xdr:col>4</xdr:col>
      <xdr:colOff>885825</xdr:colOff>
      <xdr:row>1</xdr:row>
      <xdr:rowOff>419100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968BFBF-0EF3-485C-A888-7FEF92C259ED}"/>
            </a:ext>
          </a:extLst>
        </xdr:cNvPr>
        <xdr:cNvSpPr/>
      </xdr:nvSpPr>
      <xdr:spPr>
        <a:xfrm>
          <a:off x="4238625" y="219075"/>
          <a:ext cx="1819275" cy="3905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Setor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1333500</xdr:colOff>
      <xdr:row>1</xdr:row>
      <xdr:rowOff>66675</xdr:rowOff>
    </xdr:from>
    <xdr:to>
      <xdr:col>1</xdr:col>
      <xdr:colOff>647700</xdr:colOff>
      <xdr:row>1</xdr:row>
      <xdr:rowOff>447675</xdr:rowOff>
    </xdr:to>
    <xdr:sp macro="" textlink="">
      <xdr:nvSpPr>
        <xdr:cNvPr id="3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95EF5F-1DF0-42F6-A1E8-3CE58316D654}"/>
            </a:ext>
            <a:ext uri="{147F2762-F138-4A5C-976F-8EAC2B608ADB}">
              <a16:predDERef xmlns:a16="http://schemas.microsoft.com/office/drawing/2014/main" pred="{1951CBDE-7C76-42DD-BEB4-BA49B4FB340A}"/>
            </a:ext>
          </a:extLst>
        </xdr:cNvPr>
        <xdr:cNvSpPr/>
      </xdr:nvSpPr>
      <xdr:spPr>
        <a:xfrm>
          <a:off x="1333500" y="257175"/>
          <a:ext cx="153352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>
              <a:latin typeface="Loto"/>
            </a:rPr>
            <a:t>Menu principal</a:t>
          </a:r>
        </a:p>
        <a:p>
          <a:pPr algn="l"/>
          <a:endParaRPr lang="pt-BR" sz="1100"/>
        </a:p>
      </xdr:txBody>
    </xdr:sp>
    <xdr:clientData/>
  </xdr:twoCellAnchor>
  <xdr:twoCellAnchor>
    <xdr:from>
      <xdr:col>3</xdr:col>
      <xdr:colOff>381001</xdr:colOff>
      <xdr:row>1</xdr:row>
      <xdr:rowOff>66675</xdr:rowOff>
    </xdr:from>
    <xdr:to>
      <xdr:col>3</xdr:col>
      <xdr:colOff>1571626</xdr:colOff>
      <xdr:row>1</xdr:row>
      <xdr:rowOff>476250</xdr:rowOff>
    </xdr:to>
    <xdr:sp macro="" textlink="">
      <xdr:nvSpPr>
        <xdr:cNvPr id="7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F10E38-361D-44C2-A308-7A85478ADF60}"/>
            </a:ext>
            <a:ext uri="{147F2762-F138-4A5C-976F-8EAC2B608ADB}">
              <a16:predDERef xmlns:a16="http://schemas.microsoft.com/office/drawing/2014/main" pred="{C795EF5F-1DF0-42F6-A1E8-3CE58316D654}"/>
            </a:ext>
          </a:extLst>
        </xdr:cNvPr>
        <xdr:cNvSpPr/>
      </xdr:nvSpPr>
      <xdr:spPr>
        <a:xfrm>
          <a:off x="6877051" y="257175"/>
          <a:ext cx="1190625" cy="4095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Funcionários</a:t>
          </a:r>
        </a:p>
      </xdr:txBody>
    </xdr:sp>
    <xdr:clientData/>
  </xdr:twoCellAnchor>
  <xdr:twoCellAnchor>
    <xdr:from>
      <xdr:col>3</xdr:col>
      <xdr:colOff>1828800</xdr:colOff>
      <xdr:row>1</xdr:row>
      <xdr:rowOff>66675</xdr:rowOff>
    </xdr:from>
    <xdr:to>
      <xdr:col>4</xdr:col>
      <xdr:colOff>1190625</xdr:colOff>
      <xdr:row>1</xdr:row>
      <xdr:rowOff>476250</xdr:rowOff>
    </xdr:to>
    <xdr:sp macro="" textlink="">
      <xdr:nvSpPr>
        <xdr:cNvPr id="8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ABA4F8-1671-4972-AAEE-0F9DFA754955}"/>
            </a:ext>
            <a:ext uri="{147F2762-F138-4A5C-976F-8EAC2B608ADB}">
              <a16:predDERef xmlns:a16="http://schemas.microsoft.com/office/drawing/2014/main" pred="{B5F10E38-361D-44C2-A308-7A85478ADF60}"/>
            </a:ext>
          </a:extLst>
        </xdr:cNvPr>
        <xdr:cNvSpPr/>
      </xdr:nvSpPr>
      <xdr:spPr>
        <a:xfrm>
          <a:off x="8324850" y="257175"/>
          <a:ext cx="1562100" cy="4095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>
              <a:solidFill>
                <a:schemeClr val="lt1"/>
              </a:solidFill>
              <a:latin typeface="+mn-lt"/>
              <a:ea typeface="+mn-lt"/>
              <a:cs typeface="+mn-lt"/>
            </a:rPr>
            <a:t>Equipamentos</a:t>
          </a:r>
        </a:p>
        <a:p>
          <a:pPr marL="0" indent="0" algn="ctr"/>
          <a:endParaRPr lang="en-US" sz="14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1428750</xdr:colOff>
      <xdr:row>0</xdr:row>
      <xdr:rowOff>104775</xdr:rowOff>
    </xdr:from>
    <xdr:to>
      <xdr:col>4</xdr:col>
      <xdr:colOff>28575</xdr:colOff>
      <xdr:row>0</xdr:row>
      <xdr:rowOff>371475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7D8672-07D4-47E4-8C93-A4E5F586B614}"/>
            </a:ext>
            <a:ext uri="{147F2762-F138-4A5C-976F-8EAC2B608ADB}">
              <a16:predDERef xmlns:a16="http://schemas.microsoft.com/office/drawing/2014/main" pred="{1951CBDE-7C76-42DD-BEB4-BA49B4FB340A}"/>
            </a:ext>
          </a:extLst>
        </xdr:cNvPr>
        <xdr:cNvSpPr/>
      </xdr:nvSpPr>
      <xdr:spPr>
        <a:xfrm>
          <a:off x="1428750" y="104775"/>
          <a:ext cx="4572000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>
              <a:latin typeface="Loto"/>
            </a:rPr>
            <a:t>Menu principal</a:t>
          </a:r>
        </a:p>
        <a:p>
          <a:pPr algn="l"/>
          <a:endParaRPr lang="pt-BR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1428750</xdr:colOff>
      <xdr:row>0</xdr:row>
      <xdr:rowOff>104775</xdr:rowOff>
    </xdr:from>
    <xdr:to>
      <xdr:col>4</xdr:col>
      <xdr:colOff>28575</xdr:colOff>
      <xdr:row>0</xdr:row>
      <xdr:rowOff>371475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F37CDE-8EE6-44B7-8EE5-4A1314F26A5D}"/>
            </a:ext>
            <a:ext uri="{147F2762-F138-4A5C-976F-8EAC2B608ADB}">
              <a16:predDERef xmlns:a16="http://schemas.microsoft.com/office/drawing/2014/main" pred="{1951CBDE-7C76-42DD-BEB4-BA49B4FB340A}"/>
            </a:ext>
          </a:extLst>
        </xdr:cNvPr>
        <xdr:cNvSpPr/>
      </xdr:nvSpPr>
      <xdr:spPr>
        <a:xfrm>
          <a:off x="1428750" y="104775"/>
          <a:ext cx="3219450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>
              <a:latin typeface="Loto"/>
            </a:rPr>
            <a:t>Menu principal</a:t>
          </a:r>
        </a:p>
        <a:p>
          <a:pPr algn="l"/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0D2F2EA-1D13-44A9-B0D7-86F29E61180E}" name="Tabela10" displayName="Tabela10" ref="B4:C158" totalsRowShown="0" headerRowDxfId="38" dataDxfId="37">
  <autoFilter ref="B4:C158" xr:uid="{90D2F2EA-1D13-44A9-B0D7-86F29E61180E}"/>
  <tableColumns count="2">
    <tableColumn id="1" xr3:uid="{EA7BEA49-BB95-44FC-96A9-00883993B421}" name="Funcionários" dataDxfId="36"/>
    <tableColumn id="2" xr3:uid="{FF686259-C910-4568-8B5A-315E053E4F8A}" name="Setor" dataDxfId="35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F35929-6593-4F98-A0E0-3D1EE9D398F7}" name="Tabela1" displayName="Tabela1" ref="B4:B19" headerRowDxfId="34" dataDxfId="33" totalsRowDxfId="32">
  <autoFilter ref="B4:B19" xr:uid="{7DF35929-6593-4F98-A0E0-3D1EE9D398F7}">
    <filterColumn colId="0" hiddenButton="1"/>
  </autoFilter>
  <tableColumns count="1">
    <tableColumn id="1" xr3:uid="{4F390933-302B-4C77-BE35-E0B58E059F78}" name="Setores" totalsRowFunction="count" dataDxfId="31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02B1F2-9B1A-447D-922C-4D5946098C3D}" name="TBLEquipamentos" displayName="TBLEquipamentos" ref="A4:H270" totalsRowShown="0" headerRowDxfId="30" dataDxfId="29">
  <autoFilter ref="A4:H270" xr:uid="{1002B1F2-9B1A-447D-922C-4D5946098C3D}"/>
  <sortState xmlns:xlrd2="http://schemas.microsoft.com/office/spreadsheetml/2017/richdata2" ref="A5:H250">
    <sortCondition ref="A4:A250"/>
  </sortState>
  <tableColumns count="8">
    <tableColumn id="1" xr3:uid="{2BFBACCD-1ABA-4654-BBC0-BC64BE8DD7C0}" name="Tipo do Item" dataDxfId="28"/>
    <tableColumn id="2" xr3:uid="{9AD923B4-A39A-4F53-8F65-3D4A67AD6829}" name="Marca" dataDxfId="27"/>
    <tableColumn id="3" xr3:uid="{62882E51-5039-43F1-BC99-BA8486691683}" name="Modelo" dataDxfId="26"/>
    <tableColumn id="4" xr3:uid="{6B44D401-55B0-49F5-B14C-D0334F29A377}" name="Serial Number" dataDxfId="25"/>
    <tableColumn id="7" xr3:uid="{46CC68E2-74B6-4CCD-AD69-3C3CA6838087}" name="Responsável" dataDxfId="24"/>
    <tableColumn id="9" xr3:uid="{9F6AC4B0-32A2-4308-BCA5-B93A586DD8CD}" name="Setor" dataDxfId="23"/>
    <tableColumn id="6" xr3:uid="{ACA9665D-A1C9-492F-B7EB-AE73A6F20820}" name="Patrimonio" dataDxfId="22"/>
    <tableColumn id="5" xr3:uid="{1B259C2D-CBD0-4401-A0D6-C5A001B469A6}" name="Observações" dataDxfId="21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74BA19-1259-43F2-9A73-544D99C5664A}" name="Tabela2" displayName="Tabela2" ref="A1:G43" totalsRowShown="0" headerRowDxfId="20" dataDxfId="19" headerRowBorderDxfId="17" tableBorderDxfId="18">
  <autoFilter ref="A1:G43" xr:uid="{0D74BA19-1259-43F2-9A73-544D99C5664A}"/>
  <tableColumns count="7">
    <tableColumn id="1" xr3:uid="{18380B7C-5CD9-44A3-9577-CD1B923DB636}" name="Equipamento" dataDxfId="16"/>
    <tableColumn id="2" xr3:uid="{52FBDA9B-228F-4593-B641-081F623F1A89}" name="Marca" dataDxfId="15"/>
    <tableColumn id="3" xr3:uid="{3526B7FE-BFBD-4434-8000-8F59DE22DBA0}" name="Modelo" dataDxfId="14"/>
    <tableColumn id="4" xr3:uid="{C5CC10F1-6B9B-48AD-BA76-3AB6476FD76A}" name="Serial" dataDxfId="13"/>
    <tableColumn id="5" xr3:uid="{0F740250-2C83-45AD-B1C9-4BF823E5C7D5}" name="Patrimonio" dataDxfId="12"/>
    <tableColumn id="6" xr3:uid="{B23204CD-A1EA-4F00-B345-65CF887633BF}" name="Ocorrencia" dataDxfId="11"/>
    <tableColumn id="7" xr3:uid="{342B049B-3DAE-4A25-A7AC-E3E6C9E7BFF1}" name="Responsavel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B64E63-4B0C-4966-9717-9172F42BB91E}" name="Tabela4" displayName="Tabela4" ref="A4:F97" totalsRowShown="0" headerRowDxfId="9" headerRowBorderDxfId="8">
  <autoFilter ref="A4:F97" xr:uid="{99B64E63-4B0C-4966-9717-9172F42BB91E}"/>
  <sortState xmlns:xlrd2="http://schemas.microsoft.com/office/spreadsheetml/2017/richdata2" ref="A5:F38">
    <sortCondition ref="A4:A38"/>
  </sortState>
  <tableColumns count="6">
    <tableColumn id="1" xr3:uid="{C27E888D-C8EE-4F62-930F-225D1CE566F9}" name="Tipo do Item"/>
    <tableColumn id="2" xr3:uid="{DA9FF83C-B5EB-4E9D-896B-DA971C26D3E2}" name="Marca"/>
    <tableColumn id="3" xr3:uid="{11234BDF-350C-44C6-A51C-E046D882B1A9}" name="Responsável"/>
    <tableColumn id="4" xr3:uid="{E11FE8FC-6723-4C24-83D6-A7C1464D2051}" name="Setor"/>
    <tableColumn id="5" xr3:uid="{4BE64602-4859-438C-9143-22B7F52D1CCB}" name="Data da Entrega do equipamento"/>
    <tableColumn id="6" xr3:uid="{481D46EC-5C16-4C0E-BD42-3D45A1045EB4}" name="Observaçõ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1B7C75-8931-47F8-8070-625FC267DEEA}" name="Tabela4646" displayName="Tabela4646" ref="A4:E35" totalsRowShown="0" headerRowDxfId="7" headerRowBorderDxfId="6">
  <autoFilter ref="A4:E35" xr:uid="{2C618D90-746F-450A-8250-1F95330DAE2B}"/>
  <sortState xmlns:xlrd2="http://schemas.microsoft.com/office/spreadsheetml/2017/richdata2" ref="A5:E28">
    <sortCondition ref="A4:A28"/>
  </sortState>
  <tableColumns count="5">
    <tableColumn id="1" xr3:uid="{B6793D11-AF65-47DB-BFAD-0D07ECC10BAC}" name="Nome"/>
    <tableColumn id="3" xr3:uid="{E7235E6C-3C01-4D19-A3D0-0DCC231341C9}" name="Data" dataDxfId="5"/>
    <tableColumn id="2" xr3:uid="{108F3BE6-0EB4-48E2-AA52-DE8059467A46}" name="Equipamento"/>
    <tableColumn id="4" xr3:uid="{5D894CA6-0837-49FF-B8BC-E80C0EFF7F03}" name="Marca" dataDxfId="4"/>
    <tableColumn id="6" xr3:uid="{029CC4D1-9557-4B6B-B87E-E82C5238CD54}" name="Observaçõ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BBE221-672B-4DBA-837C-37ECD18B6A37}" name="Tabela464" displayName="Tabela464" ref="A4:E35" totalsRowShown="0" headerRowDxfId="3" headerRowBorderDxfId="2">
  <autoFilter ref="A4:E35" xr:uid="{2C618D90-746F-450A-8250-1F95330DAE2B}"/>
  <sortState xmlns:xlrd2="http://schemas.microsoft.com/office/spreadsheetml/2017/richdata2" ref="A5:E28">
    <sortCondition ref="A4:A28"/>
  </sortState>
  <tableColumns count="5">
    <tableColumn id="1" xr3:uid="{2CE2224A-52C8-4A68-9533-8D9175E389E2}" name="Tipo do Item"/>
    <tableColumn id="3" xr3:uid="{4F4E63AE-C070-42E0-9984-7743A9382CD6}" name="Quantidade" dataDxfId="1"/>
    <tableColumn id="2" xr3:uid="{9C76C9C6-E058-4550-A07A-A721B36173B7}" name="Marca"/>
    <tableColumn id="4" xr3:uid="{A14A7D30-841C-4135-9D1D-8D0EA8B4D18D}" name="Modelo" dataDxfId="0"/>
    <tableColumn id="6" xr3:uid="{F8B7BFA5-D23E-47D2-AC96-8ED59B3C2E74}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ctr"/>
      <a:lstStyle>
        <a:defPPr algn="ctr">
          <a:defRPr sz="1400" b="1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../../../../../:f:/s/TI357/Elrd6Qg241JBqLpsOF0hADABpPlpNIJSoAy9sIZyPPVh8g?e=WYsriC" TargetMode="External"/><Relationship Id="rId21" Type="http://schemas.openxmlformats.org/officeDocument/2006/relationships/hyperlink" Target="../../../../../:f:/s/TI357/EteBgFqzlFJFpP5JvMhQ2REBjFRwAX3SFfygVfM3Al-Mcw?e=RaUktp" TargetMode="External"/><Relationship Id="rId63" Type="http://schemas.openxmlformats.org/officeDocument/2006/relationships/hyperlink" Target="../../../../../:f:/s/TI357/EnvbAcyipmtHgABhho__ZE8B4riAe7QjskrqLQ29JU8Zrg?e=hrzRag" TargetMode="External"/><Relationship Id="rId159" Type="http://schemas.openxmlformats.org/officeDocument/2006/relationships/hyperlink" Target="../../../../../:f:/s/TI357/Eghp7FP125VJhbiclMZh9FoBlk8G5wxYZKjtxWIxln7iEA?e=EF2mOx" TargetMode="External"/><Relationship Id="rId170" Type="http://schemas.openxmlformats.org/officeDocument/2006/relationships/hyperlink" Target="../../../../../:f:/s/TI357/EsybVKf7r9FIr0ODwSt70T4B1QVP9vAnMVqYwbTOKJEk5A?e=lfGL70" TargetMode="External"/><Relationship Id="rId226" Type="http://schemas.openxmlformats.org/officeDocument/2006/relationships/hyperlink" Target="mailto:suportemaisinternet1@gmail.com%20/%20capivara123%20aparelho%20entregue%20novo" TargetMode="External"/><Relationship Id="rId268" Type="http://schemas.openxmlformats.org/officeDocument/2006/relationships/hyperlink" Target="https://maisinternet.sharepoint.com/:f:/s/TI357/IgBqOMykXMHTRLbCYgX452PoAV7T4YJ1Y60hLYdRDFVvBzU?e=At4NrD" TargetMode="External"/><Relationship Id="rId32" Type="http://schemas.openxmlformats.org/officeDocument/2006/relationships/hyperlink" Target="../../../../../:f:/s/TI357/Etd4sHTdlsVEtFVT_vTfDTsB8xEVSsei8oOCjugj98OB0w?e=UJYowv" TargetMode="External"/><Relationship Id="rId74" Type="http://schemas.openxmlformats.org/officeDocument/2006/relationships/hyperlink" Target="../../../../../:f:/s/TI357/ElpTVb8CvZhFgm-jVvR5cDwBZSznR2TU4yu4Nzti-1Zkyw?e=0jgxSD" TargetMode="External"/><Relationship Id="rId128" Type="http://schemas.openxmlformats.org/officeDocument/2006/relationships/hyperlink" Target="../../../../../:f:/s/TI357/EkH7qBdHxghGoLXtpxlg45MBMOrSM3sacCHpP4xvtFzDBw?e=nCsaP4" TargetMode="External"/><Relationship Id="rId5" Type="http://schemas.openxmlformats.org/officeDocument/2006/relationships/hyperlink" Target="../../../../../:f:/s/TI357/EtTTeZu2CdtIuPYtOXoTJ3YBwr7tp95heMMHt00q4n8GUg?e=217pYz" TargetMode="External"/><Relationship Id="rId181" Type="http://schemas.openxmlformats.org/officeDocument/2006/relationships/hyperlink" Target="https://maisinternet.sharepoint.com/:f:/s/TI357/EpF3FismqexPjwiagrf6BTwBF8KCS2V0yW_5QW7uP70Jyw?e=GEUezc" TargetMode="External"/><Relationship Id="rId237" Type="http://schemas.openxmlformats.org/officeDocument/2006/relationships/hyperlink" Target="https://maisinternet.sharepoint.com/:f:/s/TI357/EkJx2NULHcRKhtH_5uwMb1AB9QxdVfXp0PiBGnDIv0UJBQ?e=nhrSXT" TargetMode="External"/><Relationship Id="rId279" Type="http://schemas.openxmlformats.org/officeDocument/2006/relationships/hyperlink" Target="https://maisinternet.sharepoint.com/sites/TI357/Documentos%20Compartilhados/Forms/AllItems.aspx?id=%2Fsites%2FTI357%2FDocumentos%20Compartilhados%2FControle%20Patrimonio%20TI%2F061908&amp;sortField=LinkFilename&amp;isAscending=false&amp;viewid=cea8db25%2D4708%2D4c20%2D898a%2D4b1dc7da221f" TargetMode="External"/><Relationship Id="rId43" Type="http://schemas.openxmlformats.org/officeDocument/2006/relationships/hyperlink" Target="../../../../../:f:/s/TI357/Ei1Su_a5ZuJMhkWQqiBwmcEBt4ilzsLnlynyKFO8x7GPMA?e=wcyqlS" TargetMode="External"/><Relationship Id="rId139" Type="http://schemas.openxmlformats.org/officeDocument/2006/relationships/hyperlink" Target="mailto:celularesmaisinternet@gmail.com%20/%20capivara123%20/%20voltou%20do%20paolo" TargetMode="External"/><Relationship Id="rId85" Type="http://schemas.openxmlformats.org/officeDocument/2006/relationships/hyperlink" Target="../../../../../:f:/s/TI357/EmGihPMSfmlKjAKOBg9O2LcBqCJ0F7HKId7tCr_fktRrZQ?e=cQQ5rP" TargetMode="External"/><Relationship Id="rId150" Type="http://schemas.openxmlformats.org/officeDocument/2006/relationships/hyperlink" Target="../../../../../:f:/s/TI357/ErUd2uZ6aWhKuV2fYKiv2y0BtT1k5bIdvd4xtK-bELN9CA?e=Ctyd1c" TargetMode="External"/><Relationship Id="rId171" Type="http://schemas.openxmlformats.org/officeDocument/2006/relationships/hyperlink" Target="https://maisinternet.sharepoint.com/:f:/s/TI357/ErNhF9MOn8ZCmtKx8rYb4MYB9E6SlW-wcZR8ORijGupiEA?e=XLKUSi" TargetMode="External"/><Relationship Id="rId192" Type="http://schemas.openxmlformats.org/officeDocument/2006/relationships/hyperlink" Target="https://maisinternet.sharepoint.com/:f:/s/TI357/EkrAxl0bw_9OvCftJs2czaEBwhThAxiHbfRKgAqVmP_teg?e=7ZV9im" TargetMode="External"/><Relationship Id="rId206" Type="http://schemas.openxmlformats.org/officeDocument/2006/relationships/hyperlink" Target="https://maisinternet.sharepoint.com/:f:/s/TI357/Ekqi46oTC6tCnljNSFIVskIBvjbGFwPTAcUAnsOE35OrCA?e=jQNcav" TargetMode="External"/><Relationship Id="rId227" Type="http://schemas.openxmlformats.org/officeDocument/2006/relationships/hyperlink" Target="https://maisinternet.sharepoint.com/:f:/s/TI357/Evy_zOGQg01Ejk_P-b7HMJ4BOpc5z-WRFhHrEr8S8EppkA?e=EMAhBq" TargetMode="External"/><Relationship Id="rId248" Type="http://schemas.openxmlformats.org/officeDocument/2006/relationships/hyperlink" Target="https://maisinternet.sharepoint.com/:f:/s/TI357/EpGXA52DEtVGnxtrkty4TywBlZwEcv1KhXY0eJWqL8xVbA?e=1naiWB" TargetMode="External"/><Relationship Id="rId269" Type="http://schemas.openxmlformats.org/officeDocument/2006/relationships/hyperlink" Target="https://maisinternet.sharepoint.com/:f:/s/TI357/IgBFve5676uOT5z32K200XQtAeQUdSU6z1afRmHG2SDULvM?e=ZRRsaV" TargetMode="External"/><Relationship Id="rId12" Type="http://schemas.openxmlformats.org/officeDocument/2006/relationships/hyperlink" Target="../../../../../:f:/s/TI357/Eko35LJNRmpAtPzy60p8CMEB4FI4EPKdkYqlbf-e2iLVJA?e=nGguIu" TargetMode="External"/><Relationship Id="rId33" Type="http://schemas.openxmlformats.org/officeDocument/2006/relationships/hyperlink" Target="../../../../../:f:/s/TI357/EgEWuQIdWwxIiQoIB3p3rxcBGvNoEA4N3A-HyaiomeHV7g?e=lTCxzL" TargetMode="External"/><Relationship Id="rId108" Type="http://schemas.openxmlformats.org/officeDocument/2006/relationships/hyperlink" Target="mailto:celularesmaisinternet@gmail.com%20/%20capivara123%20estava%20com%20Pablo%20Antony" TargetMode="External"/><Relationship Id="rId129" Type="http://schemas.openxmlformats.org/officeDocument/2006/relationships/hyperlink" Target="../../../../../:f:/s/TI357/EsPqJFfC3DNHtQzDJ1nWmncBIBPDyVmQ28IBLz7MNawugw?e=WVAVba" TargetMode="External"/><Relationship Id="rId280" Type="http://schemas.openxmlformats.org/officeDocument/2006/relationships/hyperlink" Target="https://maisinternet.sharepoint.com/:f:/s/TI357/IgDqYwXSH1QNTa4NPB9mw5BpAUSzcCvzX88i0Mxld2Lw5-k?e=YPip8q" TargetMode="External"/><Relationship Id="rId54" Type="http://schemas.openxmlformats.org/officeDocument/2006/relationships/hyperlink" Target="../../../../../:f:/s/TI357/EpBEflr83mtPkmoNH83ND1ABqJ0BMiKFzDm_1s6XgirYFQ?e=f02LWd" TargetMode="External"/><Relationship Id="rId75" Type="http://schemas.openxmlformats.org/officeDocument/2006/relationships/hyperlink" Target="../../../../../:f:/s/TI357/ElB1GJOL8FpHgtYSE5V5okMBjvHodUg7EgA3pDJvsBEnnA?e=b8ftbR" TargetMode="External"/><Relationship Id="rId96" Type="http://schemas.openxmlformats.org/officeDocument/2006/relationships/hyperlink" Target="mailto:celularesmaisinternet@gmail.com%20/%20capivara123%20/%20Padrao%20de%20desbloqueio%20nas%20fotos" TargetMode="External"/><Relationship Id="rId140" Type="http://schemas.openxmlformats.org/officeDocument/2006/relationships/hyperlink" Target="../../../../../:f:/s/TI357/En7EqYLL_x1Ai44ufZwHh_gBMjTB21Y_HuUAzo3-FtHvkQ?e=jyttED" TargetMode="External"/><Relationship Id="rId161" Type="http://schemas.openxmlformats.org/officeDocument/2006/relationships/hyperlink" Target="../../../../../:f:/s/TI357/EvPsE9KZM9dLvjOTfpBsEy0Bl65PRHfMPufQPAX1p2IbIA?e=IKnhJ1" TargetMode="External"/><Relationship Id="rId182" Type="http://schemas.openxmlformats.org/officeDocument/2006/relationships/hyperlink" Target="https://maisinternet.sharepoint.com/:f:/s/TI357/EiksZ_PrwkpKpqmEvvsowcYBT31KzGcrj2PwhvQDSMOojQ?e=v9KE0D" TargetMode="External"/><Relationship Id="rId217" Type="http://schemas.openxmlformats.org/officeDocument/2006/relationships/hyperlink" Target="https://maisinternet.sharepoint.com/:f:/s/TI357/EubMnHifWl1LnNru0WnnUoUBJCZIVicqcNFs3-P8nKovNA?e=ILoOMQ" TargetMode="External"/><Relationship Id="rId6" Type="http://schemas.openxmlformats.org/officeDocument/2006/relationships/hyperlink" Target="../../../../../:f:/s/TI357/Ep13BOowVExBoxrhsZc8wmYBv36aX74KeCzjhf1M_AiRNg?e=ohx6lN" TargetMode="External"/><Relationship Id="rId238" Type="http://schemas.openxmlformats.org/officeDocument/2006/relationships/hyperlink" Target="https://maisinternet.sharepoint.com/:f:/s/TI357/EnVUrMqXJVdAjl-h0DaZ_mABX1TgtII3NRMEElt27k0sJA?e=Ryd4LH" TargetMode="External"/><Relationship Id="rId259" Type="http://schemas.openxmlformats.org/officeDocument/2006/relationships/hyperlink" Target="https://maisinternet.sharepoint.com/:f:/s/TI357/ErV0Oa8OgLdBlgKYAWT8vb4BQ-TmzPWVrfCA9q57YP9Wkg?e=PH2TQH" TargetMode="External"/><Relationship Id="rId23" Type="http://schemas.openxmlformats.org/officeDocument/2006/relationships/hyperlink" Target="../../../../../:f:/s/TI357/EpnZ8yPKK_5IrVSTn_VOzi0BIMK0-PYN8aULVAp6WSa_6g?e=lWFoFh" TargetMode="External"/><Relationship Id="rId119" Type="http://schemas.openxmlformats.org/officeDocument/2006/relationships/hyperlink" Target="../../../../../:f:/s/TI357/Eh3ggL4MLGFDq1iuwcM294oBteBHbpl3biZP4UeWyAn_lg?e=g4xIWm" TargetMode="External"/><Relationship Id="rId270" Type="http://schemas.openxmlformats.org/officeDocument/2006/relationships/hyperlink" Target="https://maisinternet.sharepoint.com/:f:/s/TI357/IgA9vgVYnP-gT5R06aVacqjnAVGCU4cwXjrQrKM91OojClQ?e=mIQUi3" TargetMode="External"/><Relationship Id="rId44" Type="http://schemas.openxmlformats.org/officeDocument/2006/relationships/hyperlink" Target="../../../../../:f:/s/TI357/EpNTtSgpA2VGsY2qMxC7fKYBlSGpDOeP6EnyufsJ0MaudQ?e=N2qZAM" TargetMode="External"/><Relationship Id="rId65" Type="http://schemas.openxmlformats.org/officeDocument/2006/relationships/hyperlink" Target="../../../../../:f:/s/TI357/Eq37lZTSy91CmoWFe5ZWrdABBTEgjcjxxtI7HnG-7zOMTA?e=EuRvYn" TargetMode="External"/><Relationship Id="rId86" Type="http://schemas.openxmlformats.org/officeDocument/2006/relationships/hyperlink" Target="../../../../../:f:/s/TI357/EkhecjtmE5BApaAZBQF9XLsBVxVYIm3bAaq49Wn20s5xfA?e=POega9" TargetMode="External"/><Relationship Id="rId130" Type="http://schemas.openxmlformats.org/officeDocument/2006/relationships/hyperlink" Target="../../../../../:f:/s/TI357/EmxzUgVrBkNGsya4nSOD8fYBdToFtIEnRK02hrtCfQrMDA?e=oSQ1AY" TargetMode="External"/><Relationship Id="rId151" Type="http://schemas.openxmlformats.org/officeDocument/2006/relationships/hyperlink" Target="mailto:celularesmaisinternet@gmail.com%20/%20capivara123%20Entregue%20Novo" TargetMode="External"/><Relationship Id="rId172" Type="http://schemas.openxmlformats.org/officeDocument/2006/relationships/hyperlink" Target="https://maisinternet.sharepoint.com/:f:/s/TI357/EjPhxUKlpTdNjjF6hYBSFMsBBXWib8dvlcdkstAoztORxw?e=JmYxG5" TargetMode="External"/><Relationship Id="rId193" Type="http://schemas.openxmlformats.org/officeDocument/2006/relationships/hyperlink" Target="mailto:suportemaisinternet1@gmail.com%20/%20capivara123%20aparelho%20entregue%20novo" TargetMode="External"/><Relationship Id="rId207" Type="http://schemas.openxmlformats.org/officeDocument/2006/relationships/hyperlink" Target="mailto:celularesmaisinternet@gmail.com%20/%20capivara123" TargetMode="External"/><Relationship Id="rId228" Type="http://schemas.openxmlformats.org/officeDocument/2006/relationships/hyperlink" Target="https://maisinternet.sharepoint.com/:f:/s/TI357/EszyHTPilCVLsnDD4eJeCpYBT3O2cH6udXr7RMdvnpSQgg?e=S7sBxB" TargetMode="External"/><Relationship Id="rId249" Type="http://schemas.openxmlformats.org/officeDocument/2006/relationships/hyperlink" Target="https://maisinternet.sharepoint.com/:f:/s/TI357/Ejf7pPKb8GBKn0acqOytWQoBTht8WDwEUVtYPfN5UPv0Rw?e=j2QmOE" TargetMode="External"/><Relationship Id="rId13" Type="http://schemas.openxmlformats.org/officeDocument/2006/relationships/hyperlink" Target="../../../../../:f:/s/TI357/EoEMPuzKJBdCusLqoxKPZYEBtTylNiquGT_sLSukIss7nQ?e=subPgp" TargetMode="External"/><Relationship Id="rId109" Type="http://schemas.openxmlformats.org/officeDocument/2006/relationships/hyperlink" Target="../../../../../:f:/s/TI357/Eo8ReUtnjORErPA2AYPktF4B-mb-ch38pirYzUyR4JMFJQ?e=vsUKUk" TargetMode="External"/><Relationship Id="rId260" Type="http://schemas.openxmlformats.org/officeDocument/2006/relationships/hyperlink" Target="https://maisinternet.sharepoint.com/:f:/s/TI357/EuZ7YpeNAR5BppOhZC14tiQBMmZNDjIP472B_dNRmkByzw?e=2dVahL" TargetMode="External"/><Relationship Id="rId281" Type="http://schemas.openxmlformats.org/officeDocument/2006/relationships/hyperlink" Target="https://maisinternet.sharepoint.com/sites/TI357/Documentos%20Compartilhados/Forms/AllItems.aspx?id=%2Fsites%2FTI357%2FDocumentos%20Compartilhados%2FControle%20Patrimonio%20TI%2F063351&amp;sortField=LinkFilename&amp;isAscending=false&amp;viewid=cea8db25%2D4708%2D4c20%2D898a%2D4b1dc7da221f&amp;or=EXCEL%2DWEB%2EBODY%2ENT&amp;ct=1783452048132" TargetMode="External"/><Relationship Id="rId34" Type="http://schemas.openxmlformats.org/officeDocument/2006/relationships/hyperlink" Target="../../../../../:f:/s/TI357/EiqefFJdP99GsRWgv6R8t_EBGe3nhCzOF1YbkUSB5B5IkA?e=gKICBA" TargetMode="External"/><Relationship Id="rId55" Type="http://schemas.openxmlformats.org/officeDocument/2006/relationships/hyperlink" Target="../../../../../:f:/s/TI357/EnsGenFliQVOkMibxlLkE30BcrywDzGEApwnYzhEP7KXug?e=23nA0Q" TargetMode="External"/><Relationship Id="rId76" Type="http://schemas.openxmlformats.org/officeDocument/2006/relationships/hyperlink" Target="../../../../../:f:/s/TI357/El4lZyvN059KsRzAcILJgO4BiAA7zCP3anepE_heFbIExg?e=vCZbbe" TargetMode="External"/><Relationship Id="rId97" Type="http://schemas.openxmlformats.org/officeDocument/2006/relationships/hyperlink" Target="../../../../../:f:/s/TI357/EuLxzenn12xClTlaTOhrV5YBMzxC_EmRHgCMmHg8OwN2_A?e=cpRrXM" TargetMode="External"/><Relationship Id="rId120" Type="http://schemas.openxmlformats.org/officeDocument/2006/relationships/hyperlink" Target="mailto:celularesmaisinternet@gmail.com%20/%20capivara123%20/%20Celular%20novo%20estava%20com%20ronald%20gaveta" TargetMode="External"/><Relationship Id="rId141" Type="http://schemas.openxmlformats.org/officeDocument/2006/relationships/hyperlink" Target="../../../../../:f:/s/TI357/EmWo7u_99rFLt1S_oOUDDuQB5dziiOvwSHRQVnX4v2pF8w?e=6eEgei" TargetMode="External"/><Relationship Id="rId7" Type="http://schemas.openxmlformats.org/officeDocument/2006/relationships/hyperlink" Target="../../../../../:f:/s/TI357/El5BJZoqIQFKsHAp0iePwVcBdSGBwkjPhcowz3rXKcv8SQ?e=Nq8mU0" TargetMode="External"/><Relationship Id="rId162" Type="http://schemas.openxmlformats.org/officeDocument/2006/relationships/hyperlink" Target="../../../../../:f:/s/TI357/EgsS8sd2HaFPrvyp-aJq3MwBNNXo9Jb332aqH2IUKoz6_g?e=4m67xn" TargetMode="External"/><Relationship Id="rId183" Type="http://schemas.openxmlformats.org/officeDocument/2006/relationships/hyperlink" Target="https://maisinternet.sharepoint.com/:f:/s/TI357/ErN-3JpJxRZEke9f6tJ3JW4BnxYelf0-t0JpkJf0WMEleA?e=CH7D1B" TargetMode="External"/><Relationship Id="rId218" Type="http://schemas.openxmlformats.org/officeDocument/2006/relationships/hyperlink" Target="https://maisinternet.sharepoint.com/:f:/s/TI357/EqGK3KCzYqtFrnVIw9HWTV0BKUvpXSQ8gTj7scHT8IlAOg?e=MDPzNE" TargetMode="External"/><Relationship Id="rId239" Type="http://schemas.openxmlformats.org/officeDocument/2006/relationships/hyperlink" Target="https://maisinternet.sharepoint.com/:f:/s/TI357/Eu4sjKjqZ0tIl6oju6WKDFoBP6X7mIV7DoRmCoGqKHmCrQ?e=1JaPeN" TargetMode="External"/><Relationship Id="rId250" Type="http://schemas.openxmlformats.org/officeDocument/2006/relationships/hyperlink" Target="../inframaisinternet1@gmail.com%20capivara123%20/%20N&#176;%2048%209%2020027846,%20senha%20smartphone%20:%20123@+i" TargetMode="External"/><Relationship Id="rId271" Type="http://schemas.openxmlformats.org/officeDocument/2006/relationships/hyperlink" Target="https://maisinternet.sharepoint.com/:f:/s/TI357/EoNd86lIo25EkUU076368s0B1TlEPv_71-SmUfJAdu_6OA?e=FkNWIK" TargetMode="External"/><Relationship Id="rId24" Type="http://schemas.openxmlformats.org/officeDocument/2006/relationships/hyperlink" Target="../../../../../:f:/s/TI357/EtxdXP8i74BFrfHsYHs98dMB8v0wcQ0J3SxKcpbeV7OFnQ?e=hsWoOe" TargetMode="External"/><Relationship Id="rId45" Type="http://schemas.openxmlformats.org/officeDocument/2006/relationships/hyperlink" Target="../../../../../:f:/s/TI357/EvQMkBQMpnlOtPxED-K1DtQBClzG2TtXOWuxQV6l654g2A?e=LShtXG" TargetMode="External"/><Relationship Id="rId66" Type="http://schemas.openxmlformats.org/officeDocument/2006/relationships/hyperlink" Target="../../../../../:f:/s/TI357/Es3dtueSdFZBuye-xv1wkAEBaO4rYsoq85cX-A0Ud4ThCg?e=86aVaf" TargetMode="External"/><Relationship Id="rId87" Type="http://schemas.openxmlformats.org/officeDocument/2006/relationships/hyperlink" Target="../../../../../:f:/s/TI357/EmzUBCDENMhBgXWACOQWCLoBx0kvkTlQNNYy4jgBXRkPUQ?e=mwASBD" TargetMode="External"/><Relationship Id="rId110" Type="http://schemas.openxmlformats.org/officeDocument/2006/relationships/hyperlink" Target="../../../../../:f:/s/TI357/ElShAjtdXkdBm2dZR-xFvJMBR650dYYzQUWl1ebYk9JZNA?e=eoEnEt" TargetMode="External"/><Relationship Id="rId131" Type="http://schemas.openxmlformats.org/officeDocument/2006/relationships/hyperlink" Target="../../../../../:f:/s/TI357/Eq6Xw95i2LFOiMWJgyU-T9MB4zP-AQKGmOlIA74RhnoLcA?e=ri2ygS" TargetMode="External"/><Relationship Id="rId152" Type="http://schemas.openxmlformats.org/officeDocument/2006/relationships/hyperlink" Target="../../../../../:f:/s/TI357/Es8x4Lc-_hRFvZ7xY0WibCsBMgsDb1biLkrRGeFCEzIrFQ?e=a4SZe7" TargetMode="External"/><Relationship Id="rId173" Type="http://schemas.openxmlformats.org/officeDocument/2006/relationships/hyperlink" Target="https://maisinternet.sharepoint.com/:f:/s/TI357/Eq6VOSR3PcNNkaFnkJo-q3EBpX2cW7dFGa2BVH9XCW-X7w?e=pgjWPQ" TargetMode="External"/><Relationship Id="rId194" Type="http://schemas.openxmlformats.org/officeDocument/2006/relationships/hyperlink" Target="https://maisinternet.sharepoint.com/:f:/s/TI357/Ek6ECC98lIZPmUEizWwRFXsBNptKcY5f4sfcif-cvsCMBg?e=GbOGwC" TargetMode="External"/><Relationship Id="rId208" Type="http://schemas.openxmlformats.org/officeDocument/2006/relationships/hyperlink" Target="https://maisinternet.sharepoint.com/:f:/s/TI357/EgxE8zbNUQ9KmQ2t-YdQhKEB3y4d9UdqGEILH-1L1Wb2Ng?e=gl7IK3" TargetMode="External"/><Relationship Id="rId229" Type="http://schemas.openxmlformats.org/officeDocument/2006/relationships/hyperlink" Target="https://maisinternet.sharepoint.com/:f:/s/TI357/EtQU3s3X5j1KtwHTdwjmRlIBAYsuN1mmPTPCYEKBGFtUgQ?e=nBMeMX" TargetMode="External"/><Relationship Id="rId240" Type="http://schemas.openxmlformats.org/officeDocument/2006/relationships/hyperlink" Target="https://maisinternet.sharepoint.com/:f:/s/TI357/Eotj2iLF4F5Pn150d4922QEBQ2dJglculZcxe_RyGXlr4Q?e=YjZhyp" TargetMode="External"/><Relationship Id="rId261" Type="http://schemas.openxmlformats.org/officeDocument/2006/relationships/hyperlink" Target="https://maisinternet.sharepoint.com/:f:/s/TI357/ErDINqDI4KlOkFRPSAyluhkB5ou0Vi_LSB-X6OwraCu1Hw?e=NFgfnr" TargetMode="External"/><Relationship Id="rId14" Type="http://schemas.openxmlformats.org/officeDocument/2006/relationships/hyperlink" Target="../../../../../:f:/s/TI357/ElxeYM87XLNIpmJk80fYQv4BrZ4fgFu1rXe4vnrXXwBRcw?e=Xq44EX" TargetMode="External"/><Relationship Id="rId35" Type="http://schemas.openxmlformats.org/officeDocument/2006/relationships/hyperlink" Target="../../../../../:f:/s/TI357/EobGGFlykHRMgyiXlTWJ5CwBfO2HedqtScBUwdEM82G5GQ?e=Orf3Ql" TargetMode="External"/><Relationship Id="rId56" Type="http://schemas.openxmlformats.org/officeDocument/2006/relationships/hyperlink" Target="../../../../../:f:/s/TI357/EhjvdBmlSo9MpSBXxWoWnCcB62e1PGFgmLQcgL15UpUhIA?e=Ypv5pZ" TargetMode="External"/><Relationship Id="rId77" Type="http://schemas.openxmlformats.org/officeDocument/2006/relationships/hyperlink" Target="../../../../../:f:/s/TI357/Eren9OkFHUpPmTSPm6-05WYBZ0YMm_O07phm6u1W-UZNqA?e=f5R6bX" TargetMode="External"/><Relationship Id="rId100" Type="http://schemas.openxmlformats.org/officeDocument/2006/relationships/hyperlink" Target="../../../../../:f:/s/TI357/Ek2IczxdaqJKiBuGqzzehlMBxHchNJJqFzrq_2lWm7QsIg?e=HVAmIt" TargetMode="External"/><Relationship Id="rId282" Type="http://schemas.openxmlformats.org/officeDocument/2006/relationships/hyperlink" Target="https://maisinternet.sharepoint.com/sites/TI357/Documentos%20Compartilhados/Forms/AllItems.aspx?id=%2Fsites%2FTI357%2FDocumentos%20Compartilhados%2FControle%20Patrimonio%20TI%2F064054&amp;sortField=LinkFilename&amp;isAscending=false&amp;viewid=cea8db25%2D4708%2D4c20%2D898a%2D4b1dc7da221f" TargetMode="External"/><Relationship Id="rId8" Type="http://schemas.openxmlformats.org/officeDocument/2006/relationships/hyperlink" Target="../../../../../:f:/s/TI357/Eu8TNP8tZihPkrme9dLfgDIBTCNZAIBKrECKTSfs_u5Xag?e=Sac9jk" TargetMode="External"/><Relationship Id="rId98" Type="http://schemas.openxmlformats.org/officeDocument/2006/relationships/hyperlink" Target="../../Forms/AllItems.aspx?id=%2Fsites%2FTI357%2FDocumentos%20Compartilhados%2FControle%20Patrimonio%20TI%2F31860&amp;viewid=cea8db25-4708-4c20-898a-4b1dc7da221f" TargetMode="External"/><Relationship Id="rId121" Type="http://schemas.openxmlformats.org/officeDocument/2006/relationships/hyperlink" Target="../../../../../:f:/s/TI357/EpTGFoNupPlCkK-zzmysKTkBtx4CRWZRjNcei1nBCVDiIQ?e=ha5bl5" TargetMode="External"/><Relationship Id="rId142" Type="http://schemas.openxmlformats.org/officeDocument/2006/relationships/hyperlink" Target="../../../../../:f:/s/TI357/EmBS67vKe71MkMFW3RBU8GwBRMDCkaxu0Cn1Jgvk8m9MNQ?e=KHsYii" TargetMode="External"/><Relationship Id="rId163" Type="http://schemas.openxmlformats.org/officeDocument/2006/relationships/hyperlink" Target="../../../../../:f:/s/TI357/EqPH1myXbp1Lnc7zQQM7Tv8B7wV6pY2evTQo-PeQMvzEIw?e=lvnZfq" TargetMode="External"/><Relationship Id="rId184" Type="http://schemas.openxmlformats.org/officeDocument/2006/relationships/hyperlink" Target="https://maisinternet.sharepoint.com/:f:/s/TI357/EpQbmw39xbpGsoKDH_MYIkkBn-9bXU_LSoh2iBQFCq8ZRg?e=DwlPf7" TargetMode="External"/><Relationship Id="rId219" Type="http://schemas.openxmlformats.org/officeDocument/2006/relationships/hyperlink" Target="https://maisinternet.sharepoint.com/:f:/s/TI357/ErBvKoZr6exJpeqTH-97Ji0BC1MmY8hsPQhyBHkyqLxORw?e=A1Raj7" TargetMode="External"/><Relationship Id="rId230" Type="http://schemas.openxmlformats.org/officeDocument/2006/relationships/hyperlink" Target="https://maisinternet.sharepoint.com/:f:/s/TI357/EgFqMgIry3BPve-ztgAW5joBjFrTYIQCO-oON2mceuSnIQ?e=Ph15QV" TargetMode="External"/><Relationship Id="rId251" Type="http://schemas.openxmlformats.org/officeDocument/2006/relationships/hyperlink" Target="https://maisinternet.sharepoint.com/:f:/s/TI357/EoJvXNxc8ddDnWfgB0N3LvEBWOsVFCfv4i2O4asmrudigg?e=WMgs69" TargetMode="External"/><Relationship Id="rId25" Type="http://schemas.openxmlformats.org/officeDocument/2006/relationships/hyperlink" Target="../../../../../:f:/s/TI357/Er50aAhLeftBsfykuXED_kwB0uKp4D3GZYJx241fcI6ATw?e=gkEHG4" TargetMode="External"/><Relationship Id="rId46" Type="http://schemas.openxmlformats.org/officeDocument/2006/relationships/hyperlink" Target="../../../../../:f:/s/TI357/Ep5Ez5A8cbtEsgbsgpZ2W_kBeblkSbrifKXOrTUTQ7oC7w?e=0dfFbp" TargetMode="External"/><Relationship Id="rId67" Type="http://schemas.openxmlformats.org/officeDocument/2006/relationships/hyperlink" Target="../../../../../:f:/s/TI357/EueEksLAwNhGozs8dwhn8-EByMLeZxm3LMo6qjc2BVHnDw?e=0uIJbV" TargetMode="External"/><Relationship Id="rId272" Type="http://schemas.openxmlformats.org/officeDocument/2006/relationships/hyperlink" Target="https://maisinternet.sharepoint.com/sites/TI357/Documentos%20Compartilhados/Forms/AllItems.aspx?id=%2Fsites%2FTI357%2FDocumentos%20Compartilhados%2FControle%20Patrimonio%20TI%2F059880&amp;sortField=LinkFilename&amp;isAscending=false&amp;viewid=cea8db25%2D4708%2D4c20%2D898a%2D4b1dc7da221f" TargetMode="External"/><Relationship Id="rId88" Type="http://schemas.openxmlformats.org/officeDocument/2006/relationships/hyperlink" Target="../../../../../:f:/s/TI357/ElOZ494IpxFMrIoWVSBq15EBzcEor5RmYPY3xX7a1DQfOg?e=J63rJ8" TargetMode="External"/><Relationship Id="rId111" Type="http://schemas.openxmlformats.org/officeDocument/2006/relationships/hyperlink" Target="mailto:celularesmaisinternet@gmail.com%20/%20capivara123" TargetMode="External"/><Relationship Id="rId132" Type="http://schemas.openxmlformats.org/officeDocument/2006/relationships/hyperlink" Target="../../../../../:f:/s/TI357/ErfoVFoJQ6FLu5yVfkofTB4BbK1UYVFfHISqZOatz28gjA?e=0oWVoN" TargetMode="External"/><Relationship Id="rId153" Type="http://schemas.openxmlformats.org/officeDocument/2006/relationships/hyperlink" Target="../../../../../:f:/s/TI357/EuEJdRuFaqJNmPCHFglr2nYB2bWhR5qlRoBcnNLj2WCxOw?e=gS1rTh" TargetMode="External"/><Relationship Id="rId174" Type="http://schemas.openxmlformats.org/officeDocument/2006/relationships/hyperlink" Target="https://maisinternet.sharepoint.com/:f:/s/TI357/EgfSct9glt5Nr6DZhXICWjkBt7i5cQIe5iTzMeMJRjKP1w?e=RjUkBK" TargetMode="External"/><Relationship Id="rId195" Type="http://schemas.openxmlformats.org/officeDocument/2006/relationships/hyperlink" Target="https://maisinternet.sharepoint.com/:f:/s/TI357/Ejm4j-jbfLtMpqAcaWkUYLUBmoj8D0O8MGcHQ-wra771qA?e=aHJBlZ" TargetMode="External"/><Relationship Id="rId209" Type="http://schemas.openxmlformats.org/officeDocument/2006/relationships/hyperlink" Target="mailto:celularesmaisinternet@gmail.com%20/%20capivara123" TargetMode="External"/><Relationship Id="rId220" Type="http://schemas.openxmlformats.org/officeDocument/2006/relationships/hyperlink" Target="mailto:celularesmaisinternet@gmail.com" TargetMode="External"/><Relationship Id="rId241" Type="http://schemas.openxmlformats.org/officeDocument/2006/relationships/hyperlink" Target="https://maisinternet.sharepoint.com/:f:/s/TI357/EglMxavbbYBKqKgDZJYZY0oBJ0MMyIhKNtjQJAYaWm14Mw?e=wCIgTY" TargetMode="External"/><Relationship Id="rId15" Type="http://schemas.openxmlformats.org/officeDocument/2006/relationships/hyperlink" Target="../../../../../:f:/s/TI357/ErEj6spHyh5OlFF-8leYtpUBHanFWf9QKBH0UID8-Blx2A?e=e17epO" TargetMode="External"/><Relationship Id="rId36" Type="http://schemas.openxmlformats.org/officeDocument/2006/relationships/hyperlink" Target="../../../../../:f:/s/TI357/EmQcAY_hCFhKksqMQBAYb3UB_bCsJJewst1YEhKOtzYvwQ?e=T6Jfsq" TargetMode="External"/><Relationship Id="rId57" Type="http://schemas.openxmlformats.org/officeDocument/2006/relationships/hyperlink" Target="../../../../../:f:/s/TI357/Er2g0HSRuMREjBZZVFt5mBcB9bDDAmTaLGXB6iqBFoiSXg?e=2mCd7u" TargetMode="External"/><Relationship Id="rId262" Type="http://schemas.openxmlformats.org/officeDocument/2006/relationships/hyperlink" Target="../../../../../:f:/s/TI357/EoMx1c-u12hLmQJ-7gfDqioBqOo3iZu1AuYSD_HbYCeanA?e=y5b1iZ" TargetMode="External"/><Relationship Id="rId283" Type="http://schemas.openxmlformats.org/officeDocument/2006/relationships/printerSettings" Target="../printerSettings/printerSettings3.bin"/><Relationship Id="rId78" Type="http://schemas.openxmlformats.org/officeDocument/2006/relationships/hyperlink" Target="../../../../../:f:/s/TI357/EtA9kcOl4hFIkfJjowocri4BniMdXwjsGl4-jDM5-DGB5Q?e=dBFiut" TargetMode="External"/><Relationship Id="rId99" Type="http://schemas.openxmlformats.org/officeDocument/2006/relationships/hyperlink" Target="impressaomaisinternet@gmail.com%20%20senha:%20capivara123%20/%20/%20/%20/%20admin%20capivara%20tonner%20Mlt-d203u%2084:25:19:1D:E4:90" TargetMode="External"/><Relationship Id="rId101" Type="http://schemas.openxmlformats.org/officeDocument/2006/relationships/hyperlink" Target="../../../../../:f:/s/TI357/EsnCaf2gmpdJpQrx3wWbbhwBfdKrURuLmVxZ7ZEgNUugaw?e=52jWTl" TargetMode="External"/><Relationship Id="rId122" Type="http://schemas.openxmlformats.org/officeDocument/2006/relationships/hyperlink" Target="../../../../../:f:/s/TI357/EjQyO2R79wNGjkqXcAYeopwBde_D9I3nCI0l5Xnh7dWdbQ?e=ytd0ir" TargetMode="External"/><Relationship Id="rId143" Type="http://schemas.openxmlformats.org/officeDocument/2006/relationships/hyperlink" Target="../../../../../:f:/s/TI357/Eu8HZiOgO15AtgihT_sBBMsBbUAJfmX3y0rxfYkD035ddw?e=0Hbd6q" TargetMode="External"/><Relationship Id="rId164" Type="http://schemas.openxmlformats.org/officeDocument/2006/relationships/hyperlink" Target="../../../../../:f:/s/TI357/EmNybs3jgPJNvXmHq6x8iCABK2a_f6WF2gj8oYOS3mPxpg?e=P3CUWX" TargetMode="External"/><Relationship Id="rId185" Type="http://schemas.openxmlformats.org/officeDocument/2006/relationships/hyperlink" Target="https://maisinternet.sharepoint.com/:f:/s/TI357/EpcRvsGSX5tHsvmLfeuATfIBBMvNQ2Bzn24yPOFtPxNNCg?e=IakRmX" TargetMode="External"/><Relationship Id="rId9" Type="http://schemas.openxmlformats.org/officeDocument/2006/relationships/hyperlink" Target="../../../../../:f:/s/TI357/Elfojr6iXMJFuC_MT-ZViQEBoSNd9WHLssfp_8yTYTFNdA?e=cNXTR2" TargetMode="External"/><Relationship Id="rId210" Type="http://schemas.openxmlformats.org/officeDocument/2006/relationships/hyperlink" Target="https://maisinternet.sharepoint.com/:f:/s/TI357/Es_WcKp75gVJk8y-H3Uedk8B8-wXF-dZqISaNmzFFmjj-Q?e=bU1I5T" TargetMode="External"/><Relationship Id="rId26" Type="http://schemas.openxmlformats.org/officeDocument/2006/relationships/hyperlink" Target="../../../../../:f:/s/TI357/EmuH-bCSjilPtVQ71sbxK_gBpC3s4vrEEpCjnr7k40eU_w?e=ABCBgm" TargetMode="External"/><Relationship Id="rId231" Type="http://schemas.openxmlformats.org/officeDocument/2006/relationships/hyperlink" Target="https://maisinternet.sharepoint.com/:f:/s/TI357/Es-WDfNV4UpJjLHjdwJhcSUBSU-QNI2t3ZciHgjzLvUPHQ?e=tedh0d" TargetMode="External"/><Relationship Id="rId252" Type="http://schemas.openxmlformats.org/officeDocument/2006/relationships/hyperlink" Target="../../../../../:f:/s/TI357/EjidfrBgcTNHmWgZSv1Yxr8Bvzww_HtDdfi0RSdqxJZt4Q?e=obFjaP" TargetMode="External"/><Relationship Id="rId273" Type="http://schemas.openxmlformats.org/officeDocument/2006/relationships/hyperlink" Target="https://maisinternet.sharepoint.com/sites/TI357/Documentos%20Compartilhados/Forms/AllItems.aspx?id=%2Fsites%2FTI357%2FDocumentos%20Compartilhados%2FControle%20Patrimonio%20TI%2F059882&amp;viewid=cea8db25%2D4708%2D4c20%2D898a%2D4b1dc7da221f" TargetMode="External"/><Relationship Id="rId47" Type="http://schemas.openxmlformats.org/officeDocument/2006/relationships/hyperlink" Target="../../../../../:f:/s/TI357/Etjnsnu2N9NIn610A6zu-WwBN9Y_trNXj2x9Ndcymy5WLQ?e=fIAFPf" TargetMode="External"/><Relationship Id="rId68" Type="http://schemas.openxmlformats.org/officeDocument/2006/relationships/hyperlink" Target="../../../../../:f:/s/TI357/EmTteq484E9IhIOEwpAzCBcBwlHJp90ASDrFz47ex5iLlA?e=AyO9OQ" TargetMode="External"/><Relationship Id="rId89" Type="http://schemas.openxmlformats.org/officeDocument/2006/relationships/hyperlink" Target="../../Forms/AllItems.aspx?id=%2Fsites%2FTI357%2FDocumentos%20Compartilhados%2FControle%20Patrimonio%20TI%2F006166&amp;viewid=cea8db25%2D4708%2D4c20%2D898a%2D4b1dc7da221f" TargetMode="External"/><Relationship Id="rId112" Type="http://schemas.openxmlformats.org/officeDocument/2006/relationships/hyperlink" Target="../../../../../:f:/s/TI357/Et9M5RW3ypJJtzJ94sMDPgoBG7-hHjRmjL_HwRjAnk3TFA?e=ddywyt" TargetMode="External"/><Relationship Id="rId133" Type="http://schemas.openxmlformats.org/officeDocument/2006/relationships/hyperlink" Target="../../../../../:f:/s/TI357/EipdI6JE_tFAjg1h8CC5E1YBp_cmQNo7YBc7Be9E9dJV7A?e=VtXj3T" TargetMode="External"/><Relationship Id="rId154" Type="http://schemas.openxmlformats.org/officeDocument/2006/relationships/hyperlink" Target="../../../../../:f:/s/TI357/Eg3Kv13QNc9Fpb42iKgpzkwB7iHbRRjn21fLQNSVmD4ZLg?e=1AG8rM" TargetMode="External"/><Relationship Id="rId175" Type="http://schemas.openxmlformats.org/officeDocument/2006/relationships/hyperlink" Target="https://maisinternet.sharepoint.com/:f:/s/TI357/Esl2JyD7SmpEu4_yzS-PfAEB5IUK6nOXl_tsIw-b25V59A?e=vlbbgW" TargetMode="External"/><Relationship Id="rId196" Type="http://schemas.openxmlformats.org/officeDocument/2006/relationships/hyperlink" Target="https://maisinternet.sharepoint.com/:f:/s/TI357/EjIlcWT9uZVMsMb2ZbQWG2oB8HpoCavn6Lpp-MuyKepBKA?e=4SEyIV" TargetMode="External"/><Relationship Id="rId200" Type="http://schemas.openxmlformats.org/officeDocument/2006/relationships/hyperlink" Target="mailto:celularesmaisinternet@gmail.com%20/%20capivara123" TargetMode="External"/><Relationship Id="rId16" Type="http://schemas.openxmlformats.org/officeDocument/2006/relationships/hyperlink" Target="../../../../../:f:/s/TI357/EnW4vbgTbQBHldx5iDLy7q8BRCDNZe9m8Lap2Jt2-obeJA?e=h4ocNu" TargetMode="External"/><Relationship Id="rId221" Type="http://schemas.openxmlformats.org/officeDocument/2006/relationships/hyperlink" Target="https://maisinternet.sharepoint.com/:f:/s/TI357/Ei6GpmLlQ_JHnMzoQu3L3ScBOsyhZKFXP7c5CRqqWUiJgw?e=e6t4pP" TargetMode="External"/><Relationship Id="rId242" Type="http://schemas.openxmlformats.org/officeDocument/2006/relationships/hyperlink" Target="https://maisinternet.sharepoint.com/:f:/s/TI357/EorknR3_sXJLjnsyfwQorQ0BwsVFNaj4JWurr_xYrKdKcg?e=cv0FM4" TargetMode="External"/><Relationship Id="rId263" Type="http://schemas.openxmlformats.org/officeDocument/2006/relationships/hyperlink" Target="https://maisinternet.sharepoint.com/:f:/s/TI357/EsoSBMI4NRNAl66T5q-4JQ0BAKwVBF_IhA0qcSHJDB2fjg?e=Bfqmsg" TargetMode="External"/><Relationship Id="rId284" Type="http://schemas.openxmlformats.org/officeDocument/2006/relationships/drawing" Target="../drawings/drawing4.xml"/><Relationship Id="rId37" Type="http://schemas.openxmlformats.org/officeDocument/2006/relationships/hyperlink" Target="../../../../../:f:/s/TI357/Er3ps37QHHZKoQisKCeh5zoB8lCcxDBUdMkh5i0tm08ymA?e=G0L4KB" TargetMode="External"/><Relationship Id="rId58" Type="http://schemas.openxmlformats.org/officeDocument/2006/relationships/hyperlink" Target="../../../../../:f:/s/TI357/EjeMbYIy53RFgHZd7k41g6cBKXzObLha3lmgfJ4HjS2dzw?e=QhbQsK" TargetMode="External"/><Relationship Id="rId79" Type="http://schemas.openxmlformats.org/officeDocument/2006/relationships/hyperlink" Target="../../../../../:f:/s/TI357/Eup4CnCUbmVCrBOs8W39rIYBF61WQHawznBgEydTdVqI4w?e=EpDJN9" TargetMode="External"/><Relationship Id="rId102" Type="http://schemas.openxmlformats.org/officeDocument/2006/relationships/hyperlink" Target="../../../../../:f:/s/TI357/EnackgNBiahEiTW8gJe0gkwBdcjqh-mPx44idszlq3w1Eg?e=EFRQHD" TargetMode="External"/><Relationship Id="rId123" Type="http://schemas.openxmlformats.org/officeDocument/2006/relationships/hyperlink" Target="../../../../../:f:/s/TI357/EnmQa0s6pk1Cm1shMGViazYBpJRbvewP8mrEs3bc4yPBXA?e=jiK4Lh" TargetMode="External"/><Relationship Id="rId144" Type="http://schemas.openxmlformats.org/officeDocument/2006/relationships/hyperlink" Target="../../../../../:f:/s/TI357/EsNaTSrwf8VDnTyOlmS_mAQBT_jT-ql0cuV6GlXPFCDGWA?e=HlL5SK" TargetMode="External"/><Relationship Id="rId90" Type="http://schemas.openxmlformats.org/officeDocument/2006/relationships/hyperlink" Target="../../Forms/AllItems.aspx?id=%2Fsites%2FTI357%2FDocumentos%20Compartilhados%2FControle%20Patrimonio%20TI%2F031873&amp;viewid=cea8db25%2D4708%2D4c20%2D898a%2D4b1dc7da221f" TargetMode="External"/><Relationship Id="rId165" Type="http://schemas.openxmlformats.org/officeDocument/2006/relationships/hyperlink" Target="../../../../../:f:/s/TI357/EvLDBEjO-QJOrpZw17CEWFgBVfrIkE9-pM97BE-jCgrX6g?e=fthFFy" TargetMode="External"/><Relationship Id="rId186" Type="http://schemas.openxmlformats.org/officeDocument/2006/relationships/hyperlink" Target="mailto:celularesmaisinternet@gmail.com%20/%20capivara123%20ESTAVA%20COM%20CARLOS" TargetMode="External"/><Relationship Id="rId211" Type="http://schemas.openxmlformats.org/officeDocument/2006/relationships/hyperlink" Target="mailto:celularesmaisinternet@gmail.com%20/%20capivara123" TargetMode="External"/><Relationship Id="rId232" Type="http://schemas.openxmlformats.org/officeDocument/2006/relationships/hyperlink" Target="https://maisinternet.sharepoint.com/:f:/s/TI357/EtxtKlkACu9Mk8RYl7pHJwUBVD9kmccRZhwfdqmY3V3MPA?e=fEJlvW" TargetMode="External"/><Relationship Id="rId253" Type="http://schemas.openxmlformats.org/officeDocument/2006/relationships/hyperlink" Target="https://maisinternet.sharepoint.com/:f:/s/TI357/EuwNAVbErqlMgL6pE8PWxPgByVTnWPrEWHjP1EB5t-RskA?e=0pTCaX" TargetMode="External"/><Relationship Id="rId274" Type="http://schemas.openxmlformats.org/officeDocument/2006/relationships/hyperlink" Target="https://maisinternet.sharepoint.com/:f:/s/TI357/Es0kwKZ3-yZNkU-YnDkzzFQBIJdKybyoBYfeEGjA4Yvp3g?e=ChOSxd" TargetMode="External"/><Relationship Id="rId27" Type="http://schemas.openxmlformats.org/officeDocument/2006/relationships/hyperlink" Target="../../../../../:f:/s/TI357/Eu0G037482hOpaA0NxndK6MBE6x_D1t2WJh79Pcq0t9biQ?e=nHyeOe" TargetMode="External"/><Relationship Id="rId48" Type="http://schemas.openxmlformats.org/officeDocument/2006/relationships/hyperlink" Target="../../../../../:f:/s/TI357/EuwNAVbErqlMgL6pE8PWxPgByVTnWPrEWHjP1EB5t-RskA?e=p4QRBv" TargetMode="External"/><Relationship Id="rId69" Type="http://schemas.openxmlformats.org/officeDocument/2006/relationships/hyperlink" Target="../../../../../:f:/s/TI357/EqrSBkf4MFhFoOoFe8X92ecB5kJaXvLeIxuXvovwRRNGdw?e=VCSLfx" TargetMode="External"/><Relationship Id="rId113" Type="http://schemas.openxmlformats.org/officeDocument/2006/relationships/hyperlink" Target="../../../../../:f:/s/TI357/ElFPJvYbc-tNhkn5JI61UA0BFRPSSI2Nyfbvk3HkrMB1Iw?e=Vc6BvE" TargetMode="External"/><Relationship Id="rId134" Type="http://schemas.openxmlformats.org/officeDocument/2006/relationships/hyperlink" Target="../../../../../:f:/s/TI357/EllsKBCuv55Hk9SeHuMCpCgBRpF9LtcHIi6-3CFjrKr1rA?e=ToR8Zs" TargetMode="External"/><Relationship Id="rId80" Type="http://schemas.openxmlformats.org/officeDocument/2006/relationships/hyperlink" Target="../../../../../:f:/s/TI357/Eikh7PNrZwpLh-S7Yj9C7sYBCFmpfFrsUWwUpZiAenDl_Q?e=0O8V8j" TargetMode="External"/><Relationship Id="rId155" Type="http://schemas.openxmlformats.org/officeDocument/2006/relationships/hyperlink" Target="../../../../../:f:/s/TI357/EsU6I27J5c5Ag-b47KZJ0isBDNt5zAJylFI-9kjFDvYq9A?e=FYcGqM" TargetMode="External"/><Relationship Id="rId176" Type="http://schemas.openxmlformats.org/officeDocument/2006/relationships/hyperlink" Target="https://maisinternet.sharepoint.com/:f:/s/TI357/EjvrnDAxJqlIl1Rr2P4M64ABGV0ibvv9W2LsgwVUk8cMuQ?e=7Bx0bZ" TargetMode="External"/><Relationship Id="rId197" Type="http://schemas.openxmlformats.org/officeDocument/2006/relationships/hyperlink" Target="https://maisinternet.sharepoint.com/:f:/s/TI357/EvBU1D5HJvxIooUOKRb6YZUBIK1cCteyLkRqQAufuplyCA?e=PThnTy" TargetMode="External"/><Relationship Id="rId201" Type="http://schemas.openxmlformats.org/officeDocument/2006/relationships/hyperlink" Target="https://maisinternet.sharepoint.com/:f:/s/TI357/EsBp548h-dVIpKOY8OxjtGQBa7vpbX9KbSNb8ydpOwMmWw?e=w8aIzn" TargetMode="External"/><Relationship Id="rId222" Type="http://schemas.openxmlformats.org/officeDocument/2006/relationships/hyperlink" Target="https://maisinternet.sharepoint.com/:f:/s/TI357/Egav2c28PuZPo8vmOlH7i08BRYM5tyekNZXAI7a5eTOGhA?e=8RNKX5" TargetMode="External"/><Relationship Id="rId243" Type="http://schemas.openxmlformats.org/officeDocument/2006/relationships/hyperlink" Target="https://maisinternet.sharepoint.com/:f:/s/TI357/EjASR6qBpoVPgqBvjYCYqHsBhNUOaDHj4VslMA6XUey5qA?e=0FJNoB" TargetMode="External"/><Relationship Id="rId264" Type="http://schemas.openxmlformats.org/officeDocument/2006/relationships/hyperlink" Target="../../../../../:f:/s/TI357/EjJ_6uD8fP1Evafpg788gTABfStf-N-UYKEmjjMdMZtm5Q?e=jBD7Qu" TargetMode="External"/><Relationship Id="rId285" Type="http://schemas.openxmlformats.org/officeDocument/2006/relationships/table" Target="../tables/table3.xml"/><Relationship Id="rId17" Type="http://schemas.openxmlformats.org/officeDocument/2006/relationships/hyperlink" Target="../../../../../:f:/s/TI357/EhdJfFIdxeZCuG7G8I5WM54Bh8HK98iMxn5OzLBmUXddfw?e=xQXxUy" TargetMode="External"/><Relationship Id="rId38" Type="http://schemas.openxmlformats.org/officeDocument/2006/relationships/hyperlink" Target="../../../../../:f:/s/TI357/EnG0-eMgVXhDmhqd-V9gw5UBgHclhoWrzoHbD6VuVQoN8w?e=G3gYcD" TargetMode="External"/><Relationship Id="rId59" Type="http://schemas.openxmlformats.org/officeDocument/2006/relationships/hyperlink" Target="../../../../../:f:/s/TI357/EoMV6PP_1ANEnFgzThMqw-QBKyix6R4p7ja8xb-_mnz2SA?e=wj3obJ" TargetMode="External"/><Relationship Id="rId103" Type="http://schemas.openxmlformats.org/officeDocument/2006/relationships/hyperlink" Target="../../../../../:f:/s/TI357/EoJwwvDyDMdArEeDaYOI3x0BI1fIQJmEa5_XwWXum_pMrQ?e=YEgznh" TargetMode="External"/><Relationship Id="rId124" Type="http://schemas.openxmlformats.org/officeDocument/2006/relationships/hyperlink" Target="../../../../../:f:/s/TI357/EsU-LkaUJ2ZNpkj-9ToJRhsBgAYZ4jbbdmREPX4RftHUrg?e=wf6kE5" TargetMode="External"/><Relationship Id="rId70" Type="http://schemas.openxmlformats.org/officeDocument/2006/relationships/hyperlink" Target="../../../../../:f:/s/TI357/EiUR8cR4yKNDnO3RX5h5v8MBy1xdE2HcV3rFmYDzArN-Hg?e=1I4aow" TargetMode="External"/><Relationship Id="rId91" Type="http://schemas.openxmlformats.org/officeDocument/2006/relationships/hyperlink" Target="../../../../../:f:/s/TI357/Evgdpvdxg0VIjjIiwUBZXO4Bz_pMHGFHzrUiB_3_cg2tMg?e=4DUm7I" TargetMode="External"/><Relationship Id="rId145" Type="http://schemas.openxmlformats.org/officeDocument/2006/relationships/hyperlink" Target="../../../../../:f:/s/TI357/EhE0ibOqFftIiaPGI6ErMrMBDW2J2Af23-X6JRPnudQVjw?e=fITRPU" TargetMode="External"/><Relationship Id="rId166" Type="http://schemas.openxmlformats.org/officeDocument/2006/relationships/hyperlink" Target="../../../../../:f:/s/TI357/EilYuBoXh4hKsffaRh-KmzABUcUi-O_I9_VngZvr96U7Ng?e=f8ibYO" TargetMode="External"/><Relationship Id="rId187" Type="http://schemas.openxmlformats.org/officeDocument/2006/relationships/hyperlink" Target="https://maisinternet.sharepoint.com/:f:/s/TI357/EtgYNfMaTQVPugSiomYYG2IBEP0sG9m3mk5vunJsSJW5EQ?e=84BBIF" TargetMode="External"/><Relationship Id="rId1" Type="http://schemas.openxmlformats.org/officeDocument/2006/relationships/hyperlink" Target="../../../../../:f:/s/TI357/EsJTtfhUu5lDhHfCfELIJaIBx2K3H4VyM1QBybbEDeV82w?e=fUxk7L" TargetMode="External"/><Relationship Id="rId212" Type="http://schemas.openxmlformats.org/officeDocument/2006/relationships/hyperlink" Target="mailto:celularesmaisinternet@gmail.com%20/%20capivara123" TargetMode="External"/><Relationship Id="rId233" Type="http://schemas.openxmlformats.org/officeDocument/2006/relationships/hyperlink" Target="https://maisinternet.sharepoint.com/:f:/s/TI357/ErIIOV0UZwxDoh-sQX07rdIBsFxB25un8H3VZNy875jd2w?e=hJ1h4o" TargetMode="External"/><Relationship Id="rId254" Type="http://schemas.openxmlformats.org/officeDocument/2006/relationships/hyperlink" Target="https://maisinternet.sharepoint.com/:f:/s/TI357/EtUmvKC-j3FPrZfTzgTKNk4B0-WnxZkTNOZZSqKKZpcwmA?e=TXQuE7" TargetMode="External"/><Relationship Id="rId28" Type="http://schemas.openxmlformats.org/officeDocument/2006/relationships/hyperlink" Target="../../../../../:f:/s/TI357/EgSSrlvSE8FChxP-bqtR194BqZ1n7uFpnikp2P67bV4ypA?e=tFbNG6" TargetMode="External"/><Relationship Id="rId49" Type="http://schemas.openxmlformats.org/officeDocument/2006/relationships/hyperlink" Target="../../../../../:f:/s/TI357/ErIxZpHLedBKlVrnmMS3rvkBoRYS0iKRj9izQakKbMUd1g?e=N8KqX4" TargetMode="External"/><Relationship Id="rId114" Type="http://schemas.openxmlformats.org/officeDocument/2006/relationships/hyperlink" Target="https://maisinternet.sharepoint.com/:f:/s/TI357/Eu3trGSQyUpKkr1-596x5MYBRpQRdLXEpIF2Okr7BYC5xQ?e=1uE6lI" TargetMode="External"/><Relationship Id="rId275" Type="http://schemas.openxmlformats.org/officeDocument/2006/relationships/hyperlink" Target="https://maisinternet.sharepoint.com/sites/TI357/Documentos%20Compartilhados/Forms/AllItems.aspx?id=%2Fsites%2FTI357%2FDocumentos%20Compartilhados%2FControle%20Patrimonio%20TI%2F059881&amp;sortField=LinkFilename&amp;isAscending=false&amp;viewid=cea8db25%2D4708%2D4c20%2D898a%2D4b1dc7da221f" TargetMode="External"/><Relationship Id="rId60" Type="http://schemas.openxmlformats.org/officeDocument/2006/relationships/hyperlink" Target="../../../../../:f:/s/TI357/EgIq-SG4e0JKi60T1aIZDwEBuxm5myAxLKrXO2ysSNAEUw?e=FJ3U99" TargetMode="External"/><Relationship Id="rId81" Type="http://schemas.openxmlformats.org/officeDocument/2006/relationships/hyperlink" Target="../../../../../:f:/s/TI357/EvfwedJQdeRLs5IpXT36x3MBiADHoAp_00BeWui74gn7-Q?e=ggbGzb" TargetMode="External"/><Relationship Id="rId135" Type="http://schemas.openxmlformats.org/officeDocument/2006/relationships/hyperlink" Target="../../../../../:f:/s/TI357/EjDB6EtTQCdCoiMK3f-VCx4BZDpJuGiKaFkFlL6N594Kaw?e=xVyL9t" TargetMode="External"/><Relationship Id="rId156" Type="http://schemas.openxmlformats.org/officeDocument/2006/relationships/hyperlink" Target="../../../../../:f:/s/TI357/EqQtImVJwsFChXgrGHLkKPQBSdAr7hs48jSbYurhgWbufw?e=WSiZr8" TargetMode="External"/><Relationship Id="rId177" Type="http://schemas.openxmlformats.org/officeDocument/2006/relationships/hyperlink" Target="https://maisinternet.sharepoint.com/:f:/s/TI357/ElfWrwqvOalJs_guKskrFx4BNA7vNrDLd_cmYh4zy9uNiQ?e=M9pReD" TargetMode="External"/><Relationship Id="rId198" Type="http://schemas.openxmlformats.org/officeDocument/2006/relationships/hyperlink" Target="https://maisinternet.sharepoint.com/:f:/s/TI357/Ekdlc5egTghErh0vxkY4aB0BxxTMq2VYNpJ_Oawny25T7Q?e=cniSNX" TargetMode="External"/><Relationship Id="rId202" Type="http://schemas.openxmlformats.org/officeDocument/2006/relationships/hyperlink" Target="mailto:celularesmaisinternet@gmail.com%20/%20capivara123" TargetMode="External"/><Relationship Id="rId223" Type="http://schemas.openxmlformats.org/officeDocument/2006/relationships/hyperlink" Target="https://maisinternet.sharepoint.com/:f:/s/TI357/EgtGasT0CdtHuJhz43UIrwQBL7J73_fWV0-R6c37fV6eiA?e=5xjwCK" TargetMode="External"/><Relationship Id="rId244" Type="http://schemas.openxmlformats.org/officeDocument/2006/relationships/hyperlink" Target="https://maisinternet.sharepoint.com/:f:/s/TI357/EkxsKxXHZKJFt0LEekD5pzgBDb3MC9-PkdKrg2nxnfwqSw?e=bB9pYa" TargetMode="External"/><Relationship Id="rId18" Type="http://schemas.openxmlformats.org/officeDocument/2006/relationships/hyperlink" Target="../../../../../:f:/s/TI357/Eq3NAu2Zgf9OrhrFb60N1usB4m-ZCEYOWeBcx6RlVdowrA?e=HaYJDl" TargetMode="External"/><Relationship Id="rId39" Type="http://schemas.openxmlformats.org/officeDocument/2006/relationships/hyperlink" Target="../../../../../:f:/s/TI357/EglQHsEbTtJApgaKPm1jqHEBMxzm8FkTDZ0ixNBybQoBuw?e=6T79YW" TargetMode="External"/><Relationship Id="rId265" Type="http://schemas.openxmlformats.org/officeDocument/2006/relationships/hyperlink" Target="https://maisinternet.sharepoint.com/:f:/s/TI357/IgCtd3L6adBUS4M0NekflSVDAZkdMVrjGDgmSwS7nNFiHOg?e=rDod12" TargetMode="External"/><Relationship Id="rId50" Type="http://schemas.openxmlformats.org/officeDocument/2006/relationships/hyperlink" Target="../../../../../:f:/s/TI357/Eq1v6kDNZapGqyCL5yOWbPUBUdHRQAMxy3S8nmNWRy4GwA?e=kQOzdj" TargetMode="External"/><Relationship Id="rId104" Type="http://schemas.openxmlformats.org/officeDocument/2006/relationships/hyperlink" Target="../../../../../:f:/s/TI357/EnsD6Ln06GVKjNNowE6DbjQBrF6Wdl6Nq8bxWdyq2ejBeg?e=FjlXhS" TargetMode="External"/><Relationship Id="rId125" Type="http://schemas.openxmlformats.org/officeDocument/2006/relationships/hyperlink" Target="../../../../../:f:/s/TI357/EhKU1NwwURFHoic3do93XVgBYwjjx394GxrYOclQcEA2jg?e=z3wQyk" TargetMode="External"/><Relationship Id="rId146" Type="http://schemas.openxmlformats.org/officeDocument/2006/relationships/hyperlink" Target="../../../../../:f:/s/TI357/EuMmXhuvX9hEp2S0pKPNZ2cBuuEiWnyNoLYf8aQNUsa4Xw?e=7N7FQc" TargetMode="External"/><Relationship Id="rId167" Type="http://schemas.openxmlformats.org/officeDocument/2006/relationships/hyperlink" Target="../../../../../:f:/s/TI357/Eu-ah4_nInpOvPrmigpLgTsBtg1hKcPupEIrcT_iW57kXQ?e=r8oCOy" TargetMode="External"/><Relationship Id="rId188" Type="http://schemas.openxmlformats.org/officeDocument/2006/relationships/hyperlink" Target="mailto:celularesmaisinternet@gmail.com%20/%20capivara123" TargetMode="External"/><Relationship Id="rId71" Type="http://schemas.openxmlformats.org/officeDocument/2006/relationships/hyperlink" Target="../../../../../:f:/s/TI357/EhJKliFakTZBsMqkdpW220IBWnfae6tqeirtegkMcfYEUQ?e=HFVAe1" TargetMode="External"/><Relationship Id="rId92" Type="http://schemas.openxmlformats.org/officeDocument/2006/relationships/hyperlink" Target="../../Forms/AllItems.aspx?ga=1&amp;isAscending=true&amp;id=%2Fsites%2FTI357%2FDocumentos%20Compartilhados%2FControle%20Patrimonio%20TI%2F031822&amp;sortField=LinkFilename&amp;viewid=cea8db25-4708-4c20-898a-4b1dc7da221f" TargetMode="External"/><Relationship Id="rId213" Type="http://schemas.openxmlformats.org/officeDocument/2006/relationships/hyperlink" Target="https://maisinternet.sharepoint.com/:f:/s/TI357/ElfSePQsYQtJr3i6NVAIdyEBK45VtCSiUuuJ4EO7WLVMWA?e=f997Ig" TargetMode="External"/><Relationship Id="rId234" Type="http://schemas.openxmlformats.org/officeDocument/2006/relationships/hyperlink" Target="https://maisinternet.sharepoint.com/:f:/s/TI357/EqwIT-yWS49Gj5rl_VzI3lABffVhWhQLqBvl-z4A6Fruxw?e=C525n5" TargetMode="External"/><Relationship Id="rId2" Type="http://schemas.openxmlformats.org/officeDocument/2006/relationships/hyperlink" Target="../../../../../:f:/s/TI357/EgvB11-XZslPiAdLDxuguSwBSCFPF8b3d-2AjbReBn0gvA?e=ORQ7aC" TargetMode="External"/><Relationship Id="rId29" Type="http://schemas.openxmlformats.org/officeDocument/2006/relationships/hyperlink" Target="../../../../../:f:/s/TI357/EsJWb5IDwDlNt1x7E67aHC0BssmME4PERa-JBnDdJ5NAtw?e=WZHMTv" TargetMode="External"/><Relationship Id="rId255" Type="http://schemas.openxmlformats.org/officeDocument/2006/relationships/hyperlink" Target="https://maisinternet.sharepoint.com/:f:/s/TI357/ElLDJ0HBlmRLpkjtR-7TWHgBU1wfjZ3U3pUx11xoqLkbXA?e=9z9lyS" TargetMode="External"/><Relationship Id="rId276" Type="http://schemas.openxmlformats.org/officeDocument/2006/relationships/hyperlink" Target="https://maisinternet.sharepoint.com/sites/TI357/Documentos%20Compartilhados/Forms/AllItems.aspx?id=%2Fsites%2FTI357%2FDocumentos%20Compartilhados%2FControle%20Patrimonio%20TI%2F060791&amp;sortField=LinkFilename&amp;isAscending=false&amp;viewid=cea8db25%2D4708%2D4c20%2D898a%2D4b1dc7da221f" TargetMode="External"/><Relationship Id="rId40" Type="http://schemas.openxmlformats.org/officeDocument/2006/relationships/hyperlink" Target="../../../../../:f:/s/TI357/ErAzBymq0QdGih0XWxSbbmkBoYZTe8ZdnwsNL_j6bTXRgw?e=30jmV5" TargetMode="External"/><Relationship Id="rId115" Type="http://schemas.openxmlformats.org/officeDocument/2006/relationships/hyperlink" Target="../../../../../:f:/s/TI357/EpXqq4rN7uFAi_j6AqRPHDYBmrHDJJ4fLmVHx08h-2ONJg?e=asgKZe" TargetMode="External"/><Relationship Id="rId136" Type="http://schemas.openxmlformats.org/officeDocument/2006/relationships/hyperlink" Target="../../../../../:f:/s/TI357/EhkKuCwc7PhFm-MCOh8_GIwBWam8rzQ40A23vfFdmHI-QQ?e=fjrn8y" TargetMode="External"/><Relationship Id="rId157" Type="http://schemas.openxmlformats.org/officeDocument/2006/relationships/hyperlink" Target="../../../../../:f:/s/TI357/ElpEjDWbei9FmcydO1UToCsBTVjwPYmJLGXLf-d9-wz49A?e=pQ60o6" TargetMode="External"/><Relationship Id="rId178" Type="http://schemas.openxmlformats.org/officeDocument/2006/relationships/hyperlink" Target="https://maisinternet.sharepoint.com/:f:/s/TI357/Ej1tTaveLNRFhgIu3hrUGoYB3COAK_CFH4ZebzefLOMgrA?e=DJWlap" TargetMode="External"/><Relationship Id="rId61" Type="http://schemas.openxmlformats.org/officeDocument/2006/relationships/hyperlink" Target="../../../../../:f:/s/TI357/Epqzpeyq0H1EgpX0i11GooYBMyHCMnrQYjNmuYdAAQfWEQ?e=kKjePO" TargetMode="External"/><Relationship Id="rId82" Type="http://schemas.openxmlformats.org/officeDocument/2006/relationships/hyperlink" Target="../../../../../:f:/s/TI357/Er70m6wtZyBLjgDCWjiUmZIBH8p0zqX_ysZsQ8oDWHdiBA?e=MFPY7y" TargetMode="External"/><Relationship Id="rId199" Type="http://schemas.openxmlformats.org/officeDocument/2006/relationships/hyperlink" Target="https://maisinternet.sharepoint.com/:f:/s/TI357/EjXaM-y7QitAilBdOlV4N1oBYc_cAG1EKaLl-g7bnpzLMg?e=dUyJEZ" TargetMode="External"/><Relationship Id="rId203" Type="http://schemas.openxmlformats.org/officeDocument/2006/relationships/hyperlink" Target="https://maisinternet.sharepoint.com/:f:/s/TI357/EuMwAkTU88BFh0jR6XyK2rkBhvnNdsg8rk1pVCHS0so50w?e=OYlovI" TargetMode="External"/><Relationship Id="rId19" Type="http://schemas.openxmlformats.org/officeDocument/2006/relationships/hyperlink" Target="../../../../../:f:/s/TI357/EpM4wxZ6LuRHsvl4bswJYhUBwGkuAe9Jdgl4YGqkNJWG9Q?e=22aKdO" TargetMode="External"/><Relationship Id="rId224" Type="http://schemas.openxmlformats.org/officeDocument/2006/relationships/hyperlink" Target="https://maisinternet.sharepoint.com/:f:/s/TI357/EmMJYll5DmZInuyd0Q7MSWYBoI7wNcHU6LzUJOACSa7xag?e=s3syAR" TargetMode="External"/><Relationship Id="rId245" Type="http://schemas.openxmlformats.org/officeDocument/2006/relationships/hyperlink" Target="https://maisinternet.sharepoint.com/:f:/s/TI357/EotTKag-9RBMnXkpj6TmjY0BFhZrDAo6AVG-6q-f6f6NZw?e=ePWaqy" TargetMode="External"/><Relationship Id="rId266" Type="http://schemas.openxmlformats.org/officeDocument/2006/relationships/hyperlink" Target="https://maisinternet.sharepoint.com/:f:/s/TI357/IgA8Zbq8XHVxSpLjyo7kaXNeAe8gBAtk6J-gg6Pca7ojUH4?e=EBgMZT" TargetMode="External"/><Relationship Id="rId30" Type="http://schemas.openxmlformats.org/officeDocument/2006/relationships/hyperlink" Target="../../../../../:f:/s/TI357/EtU0apVuaFRItO2S6d_EC3UB-B2mgywRsQ3_Ie4_qc686w?e=lO7bnl" TargetMode="External"/><Relationship Id="rId105" Type="http://schemas.openxmlformats.org/officeDocument/2006/relationships/hyperlink" Target="mailto:celularesmaisinternet@gmail.com%20/%20capivara123%20/%20arm&#225;rio%20/%20maisinternetfibraa@gmail.com%20Soumais*2023" TargetMode="External"/><Relationship Id="rId126" Type="http://schemas.openxmlformats.org/officeDocument/2006/relationships/hyperlink" Target="../../../../../:f:/s/TI357/EiNQm3hC2QlNtoMAAhMaFe0BZxnTaXYW2uOGp6YI2kZ2kg?e=WEmNwG" TargetMode="External"/><Relationship Id="rId147" Type="http://schemas.openxmlformats.org/officeDocument/2006/relationships/hyperlink" Target="../../../../../:f:/s/TI357/EpT9bUoPJwtGrtV76WKTAXkBxlqgDbsgYUQnjGtdID6usg?e=KD0Rn6" TargetMode="External"/><Relationship Id="rId168" Type="http://schemas.openxmlformats.org/officeDocument/2006/relationships/hyperlink" Target="../../../../../:f:/s/TI357/EgfmdDF_ebNDt3l_PBujRA0BG7P919BuXMtSd3qW2ORzlA?e=vzQbDx" TargetMode="External"/><Relationship Id="rId51" Type="http://schemas.openxmlformats.org/officeDocument/2006/relationships/hyperlink" Target="../../../../../:f:/s/TI357/Eqyy-0pAfKJJvAa2TqyhFwEBwPgmx2bwmwb6ODRafAGSLw?e=FaszGY" TargetMode="External"/><Relationship Id="rId72" Type="http://schemas.openxmlformats.org/officeDocument/2006/relationships/hyperlink" Target="../../../../../:f:/s/TI357/EoGFq44OWU5DtQ9QZ-BM_3QB7xXL8KjVMri6ir-BrwQxMw?e=QhIXg8" TargetMode="External"/><Relationship Id="rId93" Type="http://schemas.openxmlformats.org/officeDocument/2006/relationships/hyperlink" Target="../../Forms/AllItems.aspx?id=%2Fsites%2FTI357%2FDocumentos%20Compartilhados%2FControle%20Patrimonio%20TI%2F031894" TargetMode="External"/><Relationship Id="rId189" Type="http://schemas.openxmlformats.org/officeDocument/2006/relationships/hyperlink" Target="mailto:celularesmaisinternet@gmail.com%20/%20capivara123" TargetMode="External"/><Relationship Id="rId3" Type="http://schemas.openxmlformats.org/officeDocument/2006/relationships/hyperlink" Target="../../../../../:f:/s/TI357/Eq9F7TE8QqtAi4D89aWO6mIB_CC1qrtgwVNQHgUzS273HA?e=6CeTWt" TargetMode="External"/><Relationship Id="rId214" Type="http://schemas.openxmlformats.org/officeDocument/2006/relationships/hyperlink" Target="mailto:celularesmaisinternet@gmail.com%20/%20capivara123" TargetMode="External"/><Relationship Id="rId235" Type="http://schemas.openxmlformats.org/officeDocument/2006/relationships/hyperlink" Target="https://maisinternet.sharepoint.com/:f:/s/TI357/EnSwvFSSuUdChAE2uf9Y63sBIIqCNlEzXX8O0Kq4jGaJPQ?e=txmOBF" TargetMode="External"/><Relationship Id="rId256" Type="http://schemas.openxmlformats.org/officeDocument/2006/relationships/hyperlink" Target="https://maisinternet.sharepoint.com/:f:/s/TI357/EhRnuJGNKy9LoFpxAA8NSXABY1g8TIktDkfQXOm7Lc200Q?e=V4r2ls" TargetMode="External"/><Relationship Id="rId277" Type="http://schemas.openxmlformats.org/officeDocument/2006/relationships/hyperlink" Target="https://maisinternet.sharepoint.com/sites/TI357/Documentos%20Compartilhados/Forms/AllItems.aspx?id=%2Fsites%2FTI357%2FDocumentos%20Compartilhados%2FControle%20Patrimonio%20TI%2F061502&amp;sortField=LinkFilename&amp;isAscending=false&amp;viewid=cea8db25%2D4708%2D4c20%2D898a%2D4b1dc7da221f&amp;or=EXCEL%2DWEB%2EBODY%2ENT&amp;ct=1778875476461" TargetMode="External"/><Relationship Id="rId116" Type="http://schemas.openxmlformats.org/officeDocument/2006/relationships/hyperlink" Target="../../../../../:f:/s/TI357/ElKosu9zAypLkiPRq5uZxl8BrFoZN-pWHuBW6fFzwRL6YA?e=AMgkxr" TargetMode="External"/><Relationship Id="rId137" Type="http://schemas.openxmlformats.org/officeDocument/2006/relationships/hyperlink" Target="../../../../../:f:/s/TI357/Eptx9Ek0R65Frnv0E-8R73QBcE10RoG5Slm3sN1gEL-78g?e=JVkH4G" TargetMode="External"/><Relationship Id="rId158" Type="http://schemas.openxmlformats.org/officeDocument/2006/relationships/hyperlink" Target="../../../../../:f:/s/TI357/EhL3SrIBokJGuMsP5Ue1Z8wBlxMUm2zlLV83JyOaKzeH0A?e=kbJOcm" TargetMode="External"/><Relationship Id="rId20" Type="http://schemas.openxmlformats.org/officeDocument/2006/relationships/hyperlink" Target="../../../../../:f:/s/TI357/EutGCt96p5JGg6iwBiL1-uYBHGu0tYSScGE-zb4GMSf0qw?e=88BqRM" TargetMode="External"/><Relationship Id="rId41" Type="http://schemas.openxmlformats.org/officeDocument/2006/relationships/hyperlink" Target="../../../../../:f:/s/TI357/Eqaom4X_eXVHlqKwGfUGMDgBJx4mi6pxUu9KeaZw21nWcQ?e=M7FteL" TargetMode="External"/><Relationship Id="rId62" Type="http://schemas.openxmlformats.org/officeDocument/2006/relationships/hyperlink" Target="../../../../../:f:/s/TI357/Elu5zACH4-xFrV7_x7fcvOsBlQmaHMQMK5wIidz0TyFdBw?e=Wh9eLU" TargetMode="External"/><Relationship Id="rId83" Type="http://schemas.openxmlformats.org/officeDocument/2006/relationships/hyperlink" Target="../../../../../:f:/s/TI357/Er55MYNtInNOvL80o9nAVeUBCaIo1K26LeK3xbnU3kwmww?e=c1mVWn" TargetMode="External"/><Relationship Id="rId179" Type="http://schemas.openxmlformats.org/officeDocument/2006/relationships/hyperlink" Target="https://maisinternet.sharepoint.com/:f:/s/TI357/EiJC1K8OGVxFsYCOwLD2_vkBofcMQLFDuspbQb5e06GYBg?e=kLdLcx" TargetMode="External"/><Relationship Id="rId190" Type="http://schemas.openxmlformats.org/officeDocument/2006/relationships/hyperlink" Target="mailto:celularesmaisinternet@gmail.com%20/%20capivara123" TargetMode="External"/><Relationship Id="rId204" Type="http://schemas.openxmlformats.org/officeDocument/2006/relationships/hyperlink" Target="../../../../../:f:/s/TI357/EnxHRbxwrFBPrQG76p2jpWUBjjDz3oocKT5tm0VHVZyWMA?e=kK7ipq" TargetMode="External"/><Relationship Id="rId225" Type="http://schemas.openxmlformats.org/officeDocument/2006/relationships/hyperlink" Target="https://maisinternet.sharepoint.com/:f:/s/TI357/EnBvQ3tEtZlMgOgiSOE1vNIBgNKbkH2GYybt-V7Os9Bj-Q?e=duTfde" TargetMode="External"/><Relationship Id="rId246" Type="http://schemas.openxmlformats.org/officeDocument/2006/relationships/hyperlink" Target="https://maisinternet.sharepoint.com/:f:/s/TI357/EghiPHz4mIlGhe-6jeKdaxQB4ORov2WZkbQJWSvmD9yQ9g?e=KV753F" TargetMode="External"/><Relationship Id="rId267" Type="http://schemas.openxmlformats.org/officeDocument/2006/relationships/hyperlink" Target="https://maisinternet.sharepoint.com/:f:/s/TI357/IgDOg5-eNnkURJRx3WZt0sX0AVWqgT9-N28ehJzXLYVIXLM?e=fQBL8E" TargetMode="External"/><Relationship Id="rId106" Type="http://schemas.openxmlformats.org/officeDocument/2006/relationships/hyperlink" Target="../../../../../:f:/s/TI357/Eszjp7JjuytBtluDXBNN878Bzwpzmwz7GHhbknfnfrcl2A?e=VQ6JJk" TargetMode="External"/><Relationship Id="rId127" Type="http://schemas.openxmlformats.org/officeDocument/2006/relationships/hyperlink" Target="../../../../../:f:/s/TI357/Ev7WEqUI00dPlgruKG_zOr0B3dAxlVIH5g8ccepS6lQPVQ?e=WllK0c" TargetMode="External"/><Relationship Id="rId10" Type="http://schemas.openxmlformats.org/officeDocument/2006/relationships/hyperlink" Target="../../../../../:f:/s/TI357/Emxn98LJMApEhNwdy_8gfrkBJEmdX7EcccdvKE9FsIZQSA?e=igFyYo" TargetMode="External"/><Relationship Id="rId31" Type="http://schemas.openxmlformats.org/officeDocument/2006/relationships/hyperlink" Target="../../../../../:f:/s/TI357/Eo2e0qZtzpJNmGlVFs8f91cBltzA5CwNY0SDFhl93j1TAg?e=H1zaJC" TargetMode="External"/><Relationship Id="rId52" Type="http://schemas.openxmlformats.org/officeDocument/2006/relationships/hyperlink" Target="../../../../../:f:/s/TI357/EriFckng4WNGpCHwMByMCvQBcrFrFSS18AgMlWeM4VYNUw?e=vM6jYN" TargetMode="External"/><Relationship Id="rId73" Type="http://schemas.openxmlformats.org/officeDocument/2006/relationships/hyperlink" Target="../../../../../:f:/s/TI357/ElU7KXxLkctOn2esuf3NeMkBCyuatQVRNw8LCIZppjzUgQ?e=6wlWGb" TargetMode="External"/><Relationship Id="rId94" Type="http://schemas.openxmlformats.org/officeDocument/2006/relationships/hyperlink" Target="../../../../../:f:/s/TI357/Evc2NHb5QKVOulPY3I-_r5oB7CSK7wQxd2qhA3pdyea0RA?e=BMK5Ng" TargetMode="External"/><Relationship Id="rId148" Type="http://schemas.openxmlformats.org/officeDocument/2006/relationships/hyperlink" Target="../../../../../:f:/s/TI357/EnGXcX5nY6BNsiq_YbcQT9QB-W_cfHgu79zkt-RO7NMCFQ?e=uurHMW" TargetMode="External"/><Relationship Id="rId169" Type="http://schemas.openxmlformats.org/officeDocument/2006/relationships/hyperlink" Target="../../../../../:f:/s/TI357/EkbPCIXvKTlLjgpnttyMw38BE65b6ZhUX7cLYmJytEXmYA?e=RvcGSP" TargetMode="External"/><Relationship Id="rId4" Type="http://schemas.openxmlformats.org/officeDocument/2006/relationships/hyperlink" Target="../../../../../:f:/s/TI357/EjROkwYSFBtPgZXsSGwdIioBdamauKlfl6H0bk8TDFdM3Q?e=Wgdc9r" TargetMode="External"/><Relationship Id="rId180" Type="http://schemas.openxmlformats.org/officeDocument/2006/relationships/hyperlink" Target="https://maisinternet.sharepoint.com/:f:/s/TI357/EgvFMOQUugtNoV-F1berSWkBVeaUaEqfM_Fxwa0wbmI3gA?e=DwDphe" TargetMode="External"/><Relationship Id="rId215" Type="http://schemas.openxmlformats.org/officeDocument/2006/relationships/hyperlink" Target="https://maisinternet.sharepoint.com/:f:/s/TI357/EgI_vEurp6JEoTM6dBJoZGwBu8CRu99PFGlHiSTsh6Lyuw?e=P6pRky" TargetMode="External"/><Relationship Id="rId236" Type="http://schemas.openxmlformats.org/officeDocument/2006/relationships/hyperlink" Target="https://maisinternet.sharepoint.com/:f:/s/TI357/EiTXuDtHOb9CnMoXrtgdUG0BYukfwkuTrsvaiyHfVzrbfg?e=vffOzt" TargetMode="External"/><Relationship Id="rId257" Type="http://schemas.openxmlformats.org/officeDocument/2006/relationships/hyperlink" Target="https://maisinternet.sharepoint.com/:f:/s/TI357/Ek4fDx_vQK9JmxL1fazVzHwBDfkL2rrVGq_8pboRmsL_NA?e=KfSrVn" TargetMode="External"/><Relationship Id="rId278" Type="http://schemas.openxmlformats.org/officeDocument/2006/relationships/hyperlink" Target="https://maisinternet.sharepoint.com/sites/TI357/Documentos%20Compartilhados/Forms/AllItems.aspx?id=%2Fsites%2FTI357%2FDocumentos%20Compartilhados%2FControle%20Patrimonio%20TI%2F061475&amp;sortField=LinkFilename&amp;isAscending=false&amp;viewid=cea8db25%2D4708%2D4c20%2D898a%2D4b1dc7da221f&amp;or=EXCEL%2DWEB%2EBODY%2ENT&amp;ct=1778875476461" TargetMode="External"/><Relationship Id="rId42" Type="http://schemas.openxmlformats.org/officeDocument/2006/relationships/hyperlink" Target="../../../../../:f:/s/TI357/EsonkRjsDOVGo0XoyvCL4h0Bmjht6oWACSDAfDKKbsVIWQ?e=vsaoS2" TargetMode="External"/><Relationship Id="rId84" Type="http://schemas.openxmlformats.org/officeDocument/2006/relationships/hyperlink" Target="../../../../../:f:/s/TI357/EgEwFU8cnodAjgWbiGar1esBwyUlE-fy5-OQhJ2FFCqXeg?e=KIfIhJ" TargetMode="External"/><Relationship Id="rId138" Type="http://schemas.openxmlformats.org/officeDocument/2006/relationships/hyperlink" Target="../../../../../:f:/s/TI357/ElR8y1imz6pHhHCskbuO9yABXzzFT8rDtn2sQPHy2zJiIg?e=d9lcbp" TargetMode="External"/><Relationship Id="rId191" Type="http://schemas.openxmlformats.org/officeDocument/2006/relationships/hyperlink" Target="mailto:celularesmaisinternet@gmail.com%20/%20capivara123" TargetMode="External"/><Relationship Id="rId205" Type="http://schemas.openxmlformats.org/officeDocument/2006/relationships/hyperlink" Target="mailto:celularesmaisinternet@gmail.com%20/%20capivara123" TargetMode="External"/><Relationship Id="rId247" Type="http://schemas.openxmlformats.org/officeDocument/2006/relationships/hyperlink" Target="https://maisinternet.sharepoint.com/:f:/s/TI357/ElfTCE1fvlxGlKdy_l5Un0oBf5wGDN0CVM8CJcd2fSpO1w?e=4snbd8" TargetMode="External"/><Relationship Id="rId107" Type="http://schemas.openxmlformats.org/officeDocument/2006/relationships/hyperlink" Target="../../../../../:f:/s/TI357/Euvd60mbvUZNgKVdC_qyFAEBf-mtDH5Ztt12uPgvhePsYw?e=Q9znNl" TargetMode="External"/><Relationship Id="rId11" Type="http://schemas.openxmlformats.org/officeDocument/2006/relationships/hyperlink" Target="../../../../../:f:/s/TI357/EpPsO_yCT2VFsfbx-SF7PMwBVS-lAvJazWlD_222BOaaqg?e=RkFizf" TargetMode="External"/><Relationship Id="rId53" Type="http://schemas.openxmlformats.org/officeDocument/2006/relationships/hyperlink" Target="../../../../../:f:/s/TI357/EtRUIwDNKY5PjI5QcBYUR2IBu15hbzN_Ic-Yrp8N6ZkzqQ?e=zHxvZk" TargetMode="External"/><Relationship Id="rId149" Type="http://schemas.openxmlformats.org/officeDocument/2006/relationships/hyperlink" Target="../../../../../:f:/s/TI357/EsU62UlUq9BBrWr0Z3VtotYBa-19421UNeVxfhjHgn4O_g?e=IeHVGC" TargetMode="External"/><Relationship Id="rId95" Type="http://schemas.openxmlformats.org/officeDocument/2006/relationships/hyperlink" Target="mailto:celularesmaisinternet@gmail.com%20/%20capivara123%20/%20Bruno%20Jose%20/%20descartado" TargetMode="External"/><Relationship Id="rId160" Type="http://schemas.openxmlformats.org/officeDocument/2006/relationships/hyperlink" Target="../../../../../:f:/s/TI357/ElJ_tJDn9-ZIhXooxxNtJksB11VTEcHePUDTXiAOkHoCug?e=f4XCv1" TargetMode="External"/><Relationship Id="rId216" Type="http://schemas.openxmlformats.org/officeDocument/2006/relationships/hyperlink" Target="mailto:celularesmaisinternet@gmail.com%20/%20capivara123" TargetMode="External"/><Relationship Id="rId258" Type="http://schemas.openxmlformats.org/officeDocument/2006/relationships/hyperlink" Target="https://maisinternet.sharepoint.com/:f:/s/TI357/IgBQ4f3zFKFFT6xQxbS8xVWRAdJeFZKbQX9rJr0Y4lncRxw?e=otFP24" TargetMode="External"/><Relationship Id="rId22" Type="http://schemas.openxmlformats.org/officeDocument/2006/relationships/hyperlink" Target="../../../../../:f:/s/TI357/EpnVsBztb_5Cvsf3lSLZ1zIBEPUoLNhh7TeXTRD8Rl1Pgg?e=mwvcW8" TargetMode="External"/><Relationship Id="rId64" Type="http://schemas.openxmlformats.org/officeDocument/2006/relationships/hyperlink" Target="../../../../../:f:/s/TI357/EstjStWthYpMp3yEUvWFxPgBllhomPaqbDnoOuv3l7g7Qg?e=m0uc0I" TargetMode="External"/><Relationship Id="rId118" Type="http://schemas.openxmlformats.org/officeDocument/2006/relationships/hyperlink" Target="../../../../../:f:/s/TI357/Eg9V_2INzf5Ovymx1NfU9ogBdJ5BC4QNDFbnh4t6KhTPtA?e=ktmV2G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../:f:/s/TI357/EuStip8pf3RGg4snwZliUakBKF1jQSRmyjHVq46osjNh2w?e=vE8Sjn" TargetMode="External"/><Relationship Id="rId18" Type="http://schemas.openxmlformats.org/officeDocument/2006/relationships/hyperlink" Target="../../Forms/AllItems.aspx?id=%2Fsites%2FTI357%2FDocumentos%20Compartilhados%2FControle%20Patrimonio%20TI%2F030736&amp;p=true&amp;ga=1" TargetMode="External"/><Relationship Id="rId26" Type="http://schemas.openxmlformats.org/officeDocument/2006/relationships/hyperlink" Target="../../../../../:f:/s/TI357/EofAKt44qrBEsY8G4bz-yqkB5YZHuvk8SlDIyoKX0ixL3w?e=cv1Dj2" TargetMode="External"/><Relationship Id="rId39" Type="http://schemas.openxmlformats.org/officeDocument/2006/relationships/hyperlink" Target="mailto:celularesmaisinternet@gmail.com%20/%20capivara123%20%20///%20conta%20xiaomi%20senha%20xaBUM!3702%20///%20Tela%20trincada%20na%20parte%20superior" TargetMode="External"/><Relationship Id="rId21" Type="http://schemas.openxmlformats.org/officeDocument/2006/relationships/hyperlink" Target="../../Forms/AllItems.aspx?id=%2Fsites%2FTI357%2FDocumentos%20Compartilhados%2FControle%20Patrimonio%20TI%2F028797&amp;p=true&amp;ga=1" TargetMode="External"/><Relationship Id="rId34" Type="http://schemas.openxmlformats.org/officeDocument/2006/relationships/hyperlink" Target="../../../../../:f:/s/TI357/EqMRQ5j9InBEsBih2oqGrSoBDCpJjOwOqj19gML67vj-Mw?e=GjJU56" TargetMode="External"/><Relationship Id="rId42" Type="http://schemas.openxmlformats.org/officeDocument/2006/relationships/hyperlink" Target="../../../../../:f:/s/TI357/EnDdACLJOvpAqCAE874rOccBw8Hg3MgsMg-thvMUTJTkeA?e=7rhtbD" TargetMode="External"/><Relationship Id="rId7" Type="http://schemas.openxmlformats.org/officeDocument/2006/relationships/hyperlink" Target="../../../../../:f:/s/TI357/Et6S1HyxiYBPoRWlv_bRCOoBSpx791SvYztgIS2Kah_EaA?e=09d98V" TargetMode="External"/><Relationship Id="rId2" Type="http://schemas.openxmlformats.org/officeDocument/2006/relationships/hyperlink" Target="../../../../../:f:/s/TI357/ErN78ztj5PpLuhhfcqzRtUIBGtgEzJT0aa_Mxixuqdf3Pg?e=D0eL0D" TargetMode="External"/><Relationship Id="rId16" Type="http://schemas.openxmlformats.org/officeDocument/2006/relationships/hyperlink" Target="../../Forms/AllItems.aspx?id=%2Fsites%2FTI357%2FDocumentos%20Compartilhados%2FControle%20Patrimonio%20TI%2F028191&amp;p=true&amp;ga=1" TargetMode="External"/><Relationship Id="rId20" Type="http://schemas.openxmlformats.org/officeDocument/2006/relationships/hyperlink" Target="../../Forms/AllItems.aspx?id=%2Fsites%2FTI357%2FDocumentos%20Compartilhados%2FControle%20Patrimonio%20TI%2F028188&amp;p=true&amp;ga=1" TargetMode="External"/><Relationship Id="rId29" Type="http://schemas.openxmlformats.org/officeDocument/2006/relationships/hyperlink" Target="../../../../../:f:/s/TI357/EtNjpakQCgxFonG8vmw5A3cBTI3xcbnFPmF4rrZO6w5d0w?e=rhYLYs" TargetMode="External"/><Relationship Id="rId41" Type="http://schemas.openxmlformats.org/officeDocument/2006/relationships/hyperlink" Target="../../../../../:f:/s/TI357/En0WxGUy52pKsTFFQaxSO9YBheYJzW7VY6Yh4V9e0GT-eg?e=NmJdYP" TargetMode="External"/><Relationship Id="rId1" Type="http://schemas.openxmlformats.org/officeDocument/2006/relationships/hyperlink" Target="../../../../../:f:/s/TI357/EjLc4GLc9nxKltGixQJ0OOsB1WqRUHBB79NkUNvz1df2sg?e=ZjY2Vb" TargetMode="External"/><Relationship Id="rId6" Type="http://schemas.openxmlformats.org/officeDocument/2006/relationships/hyperlink" Target="../../../../../:f:/s/TI357/Em36eKUuYRRAphcRCYt690IB-DS1u5cw84uvVa8IinXP-A?e=5JTlqg" TargetMode="External"/><Relationship Id="rId11" Type="http://schemas.openxmlformats.org/officeDocument/2006/relationships/hyperlink" Target="../../../../../:f:/s/TI357/El8OUrij3BxPqsgXh3ey_90B1MXCbyMjd4AcXXYF-JoH0Q?e=gTlcIU" TargetMode="External"/><Relationship Id="rId24" Type="http://schemas.openxmlformats.org/officeDocument/2006/relationships/hyperlink" Target="../../../../../:f:/s/TI357/Ej7MyUaffKtEqt8nnE1YihsBJhsJnDCes6bOWmFpkmVoYA?e=uJTNNe" TargetMode="External"/><Relationship Id="rId32" Type="http://schemas.openxmlformats.org/officeDocument/2006/relationships/hyperlink" Target="../../../../../:f:/s/TI357/Emsfx7yZw5BDkECqsR40dEkBrW-faA97N0bRjvO5hwM4EA?e=OhoTS7" TargetMode="External"/><Relationship Id="rId37" Type="http://schemas.openxmlformats.org/officeDocument/2006/relationships/hyperlink" Target="../../../../../:f:/s/TI357/El0fZhe1VwpPqYM7t6FWmBwBy7yu1jHIaDU7sadiORh7jQ?e=0JMdkW" TargetMode="External"/><Relationship Id="rId40" Type="http://schemas.openxmlformats.org/officeDocument/2006/relationships/hyperlink" Target="../../../../../:f:/s/TI357/ElzStJILG3hPiyVRlnJpM1QB4mvPriq6iqs_QkXYAFU8Tw?e=QcwFYs" TargetMode="External"/><Relationship Id="rId5" Type="http://schemas.openxmlformats.org/officeDocument/2006/relationships/hyperlink" Target="../../../../../:f:/s/TI357/EhT1sxAH0a5DpDvL60oZJW0BYBsAsW5d5Vcv_DS95JeMTw?e=Kak4BA" TargetMode="External"/><Relationship Id="rId15" Type="http://schemas.openxmlformats.org/officeDocument/2006/relationships/hyperlink" Target="../../Forms/AllItems.aspx?id=%2Fsites%2FTI357%2FDocumentos%20Compartilhados%2FControle%20Patrimonio%20TI%2F040395&amp;p=true&amp;ga=1" TargetMode="External"/><Relationship Id="rId23" Type="http://schemas.openxmlformats.org/officeDocument/2006/relationships/hyperlink" Target="../../../../../:f:/s/TI357/EhYV2wqOlLtOmbj5XWPWgrABboGA8yu1EppOynkGkwaZXw?e=zK8AC5" TargetMode="External"/><Relationship Id="rId28" Type="http://schemas.openxmlformats.org/officeDocument/2006/relationships/hyperlink" Target="../../../../../:f:/s/TI357/ElHhmd5xEQJKqvsg6yNoxuIB5-gFbv7TS0lV6381BUxXIA?e=ECQ9Kc" TargetMode="External"/><Relationship Id="rId36" Type="http://schemas.openxmlformats.org/officeDocument/2006/relationships/hyperlink" Target="../../../../../:f:/s/TI357/EpT9S75s0VJIpPP1232Fzr4BVdBmj6zwqgvSqqukSOxGag?e=jLG9FR" TargetMode="External"/><Relationship Id="rId10" Type="http://schemas.openxmlformats.org/officeDocument/2006/relationships/hyperlink" Target="../../../../../:f:/s/TI357/EshF_HGCZ5RJpjm5-lf74AYBZvYjTOoojdPG5Vm56WvL1w?e=59YEyu" TargetMode="External"/><Relationship Id="rId19" Type="http://schemas.openxmlformats.org/officeDocument/2006/relationships/hyperlink" Target="../../Forms/AllItems.aspx?id=%2Fsites%2FTI357%2FDocumentos%20Compartilhados%2FControle%20Patrimonio%20TI%2F028169&amp;p=true&amp;ga=1" TargetMode="External"/><Relationship Id="rId31" Type="http://schemas.openxmlformats.org/officeDocument/2006/relationships/hyperlink" Target="../../../../../:f:/s/TI357/EiT8dMWQPYtJsD7WdVIxPwwB2pFWaB959AYvlUAXYqT82g?e=pNu8ET" TargetMode="External"/><Relationship Id="rId44" Type="http://schemas.openxmlformats.org/officeDocument/2006/relationships/table" Target="../tables/table4.xml"/><Relationship Id="rId4" Type="http://schemas.openxmlformats.org/officeDocument/2006/relationships/hyperlink" Target="../../../../../:f:/s/TI357/EvxYnw8M_u5IucxGq_T9XrIBoBImYhG_eLRbZhKTLwWg0A?e=kKayKK" TargetMode="External"/><Relationship Id="rId9" Type="http://schemas.openxmlformats.org/officeDocument/2006/relationships/hyperlink" Target="../../../../../:f:/s/TI357/EiWerMRnhXFFlSXue9_v1EoBGXfHoRFqxEvvuUDiH-9A9A?e=E9WHbD" TargetMode="External"/><Relationship Id="rId14" Type="http://schemas.openxmlformats.org/officeDocument/2006/relationships/hyperlink" Target="../../../../../:f:/s/TI357/En0VG9_dRcpLqwte4xktH9QBT7kXsrGgE0HFo7VIoPL-0w?e=ErgAkx" TargetMode="External"/><Relationship Id="rId22" Type="http://schemas.openxmlformats.org/officeDocument/2006/relationships/hyperlink" Target="../../Forms/AllItems.aspx?id=%2Fsites%2FTI357%2FDocumentos%20Compartilhados%2FControle%20Patrimonio%20TI%2F028774&amp;p=true&amp;ga=1" TargetMode="External"/><Relationship Id="rId27" Type="http://schemas.openxmlformats.org/officeDocument/2006/relationships/hyperlink" Target="../../../../../:f:/s/TI357/EsVpwauiE3NBjY_y4HYiK9gBRgZfvS5xq9HxXHwVlfwaDw?e=4kP2bF" TargetMode="External"/><Relationship Id="rId30" Type="http://schemas.openxmlformats.org/officeDocument/2006/relationships/hyperlink" Target="../../../../../:f:/s/TI357/ElaKjAp0zP1IoTAdKGNYg04Bp25znSH8ZYxqveb1xxp7NQ?e=z2H41I" TargetMode="External"/><Relationship Id="rId35" Type="http://schemas.openxmlformats.org/officeDocument/2006/relationships/hyperlink" Target="../../../../../:f:/s/TI357/EizN0Wc-B9RLvR8ROxNou_cBBJKFT4T4duVSs9T3WIgNoA?e=cKLGQI" TargetMode="External"/><Relationship Id="rId43" Type="http://schemas.openxmlformats.org/officeDocument/2006/relationships/hyperlink" Target="../../../../../:f:/s/TI357/Ep0zx-uW-J9JtDTVJpmw9dwBps-m2USU6o4CDPe_2R2Lbw?e=NKNHKa" TargetMode="External"/><Relationship Id="rId8" Type="http://schemas.openxmlformats.org/officeDocument/2006/relationships/hyperlink" Target="../../../../../:f:/s/TI357/Et-0RPfuX-hPoxXQBOQ08aABQJs3yv6Hl4Pv5EAxMXhszA?e=yBOVUK" TargetMode="External"/><Relationship Id="rId3" Type="http://schemas.openxmlformats.org/officeDocument/2006/relationships/hyperlink" Target="../../../../../:f:/s/TI357/EqyXaXzct5xKuKAoDknV9EkBnvl6LLBoZ6DH5WojDf72AQ?e=0SmoEU" TargetMode="External"/><Relationship Id="rId12" Type="http://schemas.openxmlformats.org/officeDocument/2006/relationships/hyperlink" Target="../../../../../:f:/s/TI357/EosEGSmnobNFu98sOS_MFygBKf9ghhkTLSvEQMtpu2nhOw?e=wiwQF4" TargetMode="External"/><Relationship Id="rId17" Type="http://schemas.openxmlformats.org/officeDocument/2006/relationships/hyperlink" Target="../../Forms/AllItems.aspx?id=%2Fsites%2FTI357%2FDocumentos%20Compartilhados%2FControle%20Patrimonio%20TI%2F028164&amp;p=true&amp;ga=1" TargetMode="External"/><Relationship Id="rId25" Type="http://schemas.openxmlformats.org/officeDocument/2006/relationships/hyperlink" Target="../../../../../:f:/s/TI357/Ejz-eb9mQjdOt_Zl1JYnE-gBPJaiSOiv72oUgAj_y7TTGw?e=ZeWycN" TargetMode="External"/><Relationship Id="rId33" Type="http://schemas.openxmlformats.org/officeDocument/2006/relationships/hyperlink" Target="../../../../../:f:/s/TI357/EqyLM6N6knlCpc87yDxM9vMBLZp5Tq8DihhfgirAzdKhXA?e=reGV8x" TargetMode="External"/><Relationship Id="rId38" Type="http://schemas.openxmlformats.org/officeDocument/2006/relationships/hyperlink" Target="../../../../../:f:/s/TI357/EnpxzU8PD45NmCetRne-UeoBGtV2W3J7tY4lpked5RJ-pg?e=LVgaYq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71CD6-0AFA-40C9-BBE7-F13A1D2C0ACA}">
  <dimension ref="A1:AN211"/>
  <sheetViews>
    <sheetView showGridLines="0" showRowColHeaders="0" workbookViewId="0"/>
  </sheetViews>
  <sheetFormatPr defaultRowHeight="15"/>
  <sheetData>
    <row r="1" spans="1:40" ht="18">
      <c r="A1" s="4"/>
      <c r="B1" s="4"/>
      <c r="C1" s="4"/>
      <c r="D1" s="4"/>
      <c r="E1" s="4"/>
      <c r="F1" s="4"/>
      <c r="G1" s="4"/>
      <c r="H1" s="4"/>
      <c r="I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37.5" customHeight="1">
      <c r="A2" s="5"/>
      <c r="B2" s="5"/>
      <c r="C2" s="5"/>
      <c r="D2" s="5"/>
      <c r="E2" s="5"/>
      <c r="F2" s="5"/>
      <c r="G2" s="5"/>
      <c r="H2" s="5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 ht="7.5" customHeight="1">
      <c r="A3" s="6"/>
      <c r="B3" s="6"/>
      <c r="C3" s="6"/>
      <c r="D3" s="6"/>
      <c r="E3" s="6"/>
      <c r="F3" s="6"/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8">
      <c r="A4" s="4"/>
      <c r="B4" s="4"/>
      <c r="C4" s="4"/>
      <c r="D4" s="4"/>
      <c r="E4" s="4"/>
      <c r="F4" s="4"/>
      <c r="G4" s="4"/>
      <c r="H4" s="4"/>
      <c r="I4" s="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8">
      <c r="A5" s="4"/>
      <c r="B5" s="4"/>
      <c r="C5" s="4"/>
      <c r="D5" s="4"/>
      <c r="E5" s="4"/>
      <c r="F5" s="4"/>
      <c r="G5" s="4"/>
      <c r="H5" s="4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ht="18">
      <c r="A6" s="4"/>
      <c r="B6" s="4"/>
      <c r="C6" s="4"/>
      <c r="D6" s="4"/>
      <c r="E6" s="4"/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ht="18">
      <c r="A7" s="4"/>
      <c r="B7" s="4"/>
      <c r="C7" s="4"/>
      <c r="D7" s="4"/>
      <c r="E7" s="4"/>
      <c r="F7" s="4"/>
      <c r="G7" s="4"/>
      <c r="H7" s="4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ht="18">
      <c r="A8" s="4"/>
      <c r="B8" s="4"/>
      <c r="C8" s="4"/>
      <c r="D8" s="4"/>
      <c r="E8" s="4"/>
      <c r="F8" s="4"/>
      <c r="G8" s="4"/>
      <c r="H8" s="4"/>
      <c r="I8" s="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ht="18">
      <c r="A9" s="4"/>
      <c r="B9" s="4"/>
      <c r="C9" s="4"/>
      <c r="D9" s="4"/>
      <c r="E9" s="4"/>
      <c r="F9" s="4"/>
      <c r="G9" s="4"/>
      <c r="H9" s="4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ht="18">
      <c r="A10" s="4"/>
      <c r="B10" s="4"/>
      <c r="C10" s="4"/>
      <c r="D10" s="4"/>
      <c r="E10" s="4"/>
      <c r="F10" s="4"/>
      <c r="G10" s="4"/>
      <c r="H10" s="4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ht="18">
      <c r="A11" s="4"/>
      <c r="B11" s="4"/>
      <c r="C11" s="4"/>
      <c r="D11" s="4"/>
      <c r="E11" s="4"/>
      <c r="F11" s="4"/>
      <c r="G11" s="4"/>
      <c r="H11" s="4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18">
      <c r="A12" s="4"/>
      <c r="B12" s="4"/>
      <c r="C12" s="4"/>
      <c r="D12" s="4"/>
      <c r="E12" s="4"/>
      <c r="F12" s="4"/>
      <c r="G12" s="4"/>
      <c r="H12" s="4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ht="18">
      <c r="A13" s="4"/>
      <c r="B13" s="4"/>
      <c r="C13" s="4"/>
      <c r="D13" s="4"/>
      <c r="E13" s="4"/>
      <c r="F13" s="4"/>
      <c r="G13" s="4"/>
      <c r="H13" s="4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ht="18">
      <c r="A14" s="4"/>
      <c r="B14" s="4"/>
      <c r="C14" s="4"/>
      <c r="D14" s="4"/>
      <c r="E14" s="4"/>
      <c r="F14" s="4"/>
      <c r="G14" s="4"/>
      <c r="H14" s="4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ht="18">
      <c r="A15" s="4"/>
      <c r="B15" s="4"/>
      <c r="C15" s="4"/>
      <c r="D15" s="4"/>
      <c r="E15" s="4"/>
      <c r="F15" s="4"/>
      <c r="G15" s="4"/>
      <c r="H15" s="4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ht="18">
      <c r="A16" s="4"/>
      <c r="B16" s="4"/>
      <c r="C16" s="4"/>
      <c r="D16" s="4"/>
      <c r="E16" s="4"/>
      <c r="F16" s="4"/>
      <c r="G16" s="4"/>
      <c r="H16" s="4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ht="18">
      <c r="A17" s="4"/>
      <c r="B17" s="4"/>
      <c r="C17" s="4"/>
      <c r="D17" s="4"/>
      <c r="E17" s="4"/>
      <c r="F17" s="4"/>
      <c r="G17" s="4"/>
      <c r="H17" s="4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ht="18">
      <c r="A18" s="4"/>
      <c r="B18" s="4"/>
      <c r="C18" s="4"/>
      <c r="D18" s="4"/>
      <c r="E18" s="4"/>
      <c r="F18" s="4"/>
      <c r="G18" s="4"/>
      <c r="H18" s="4"/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ht="18">
      <c r="A19" s="4"/>
      <c r="B19" s="4"/>
      <c r="C19" s="4"/>
      <c r="D19" s="4"/>
      <c r="E19" s="4"/>
      <c r="F19" s="4"/>
      <c r="G19" s="4"/>
      <c r="H19" s="4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ht="18">
      <c r="A20" s="4"/>
      <c r="B20" s="4"/>
      <c r="C20" s="4"/>
      <c r="D20" s="4"/>
      <c r="E20" s="4"/>
      <c r="F20" s="4"/>
      <c r="G20" s="4"/>
      <c r="H20" s="4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ht="18">
      <c r="A21" s="4"/>
      <c r="B21" s="4"/>
      <c r="C21" s="4"/>
      <c r="D21" s="4"/>
      <c r="E21" s="4"/>
      <c r="F21" s="4"/>
      <c r="G21" s="4"/>
      <c r="H21" s="4"/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6242-B70A-461C-8CB5-52A37BCE1DC4}">
  <dimension ref="A1:H158"/>
  <sheetViews>
    <sheetView showGridLines="0" topLeftCell="A50" zoomScaleNormal="100" workbookViewId="0">
      <selection activeCell="B68" sqref="B68"/>
    </sheetView>
  </sheetViews>
  <sheetFormatPr defaultRowHeight="15"/>
  <cols>
    <col min="1" max="1" width="49.5703125" customWidth="1"/>
    <col min="2" max="2" width="70.140625" customWidth="1"/>
    <col min="3" max="3" width="50.42578125" customWidth="1"/>
    <col min="5" max="5" width="27.140625" customWidth="1"/>
  </cols>
  <sheetData>
    <row r="1" spans="1:8" ht="18">
      <c r="A1" s="4"/>
      <c r="B1" s="4"/>
      <c r="C1" s="4"/>
      <c r="D1" s="1"/>
      <c r="E1" s="1"/>
      <c r="F1" s="1"/>
      <c r="G1" s="1"/>
    </row>
    <row r="2" spans="1:8" ht="37.5" customHeight="1">
      <c r="A2" s="15"/>
      <c r="B2" s="15"/>
      <c r="C2" s="15"/>
      <c r="D2" s="11"/>
      <c r="E2" s="11"/>
      <c r="F2" s="11"/>
      <c r="G2" s="11"/>
      <c r="H2" s="9"/>
    </row>
    <row r="3" spans="1:8" ht="7.5" customHeight="1">
      <c r="A3" s="16"/>
      <c r="B3" s="16"/>
      <c r="C3" s="16"/>
      <c r="D3" s="12"/>
      <c r="E3" s="12"/>
      <c r="F3" s="12"/>
      <c r="G3" s="12"/>
      <c r="H3" s="9"/>
    </row>
    <row r="4" spans="1:8" ht="19.5" customHeight="1">
      <c r="A4" s="20"/>
      <c r="B4" s="13" t="s">
        <v>0</v>
      </c>
      <c r="C4" s="13" t="s">
        <v>1</v>
      </c>
      <c r="D4" s="9"/>
      <c r="E4" s="9"/>
      <c r="F4" s="9"/>
      <c r="G4" s="9"/>
      <c r="H4" s="9"/>
    </row>
    <row r="5" spans="1:8" ht="18">
      <c r="A5" s="20"/>
      <c r="B5" s="26" t="s">
        <v>2</v>
      </c>
      <c r="C5" s="27" t="str">
        <f>_xlfn.CONCAT(Setor!B7)</f>
        <v>INTELIGENCIA DE REDES</v>
      </c>
      <c r="D5" s="9"/>
      <c r="E5" s="9"/>
      <c r="F5" s="9"/>
      <c r="G5" s="9"/>
      <c r="H5" s="9"/>
    </row>
    <row r="6" spans="1:8" ht="18">
      <c r="A6" s="20"/>
      <c r="B6" s="27" t="s">
        <v>3</v>
      </c>
      <c r="C6" s="27" t="str">
        <f>_xlfn.CONCAT(Setor!B7)</f>
        <v>INTELIGENCIA DE REDES</v>
      </c>
      <c r="D6" s="9"/>
      <c r="E6" s="9"/>
      <c r="F6" s="9"/>
      <c r="G6" s="9"/>
      <c r="H6" s="9"/>
    </row>
    <row r="7" spans="1:8" ht="18">
      <c r="A7" s="20"/>
      <c r="B7" s="27" t="s">
        <v>4</v>
      </c>
      <c r="C7" s="27" t="str">
        <f>_xlfn.CONCAT(Tabela1[[#This Row],[Setores]])</f>
        <v>INTELIGENCIA DE REDES</v>
      </c>
      <c r="D7" s="9"/>
      <c r="E7" s="9"/>
      <c r="F7" s="9"/>
      <c r="G7" s="9"/>
      <c r="H7" s="9"/>
    </row>
    <row r="8" spans="1:8" ht="18">
      <c r="A8" s="20"/>
      <c r="B8" s="27" t="s">
        <v>5</v>
      </c>
      <c r="C8" s="27" t="str">
        <f>_xlfn.CONCAT(Setor!B7)</f>
        <v>INTELIGENCIA DE REDES</v>
      </c>
      <c r="D8" s="9"/>
      <c r="E8" s="9"/>
      <c r="F8" s="9"/>
      <c r="G8" s="9"/>
      <c r="H8" s="9"/>
    </row>
    <row r="9" spans="1:8" ht="18">
      <c r="A9" s="20"/>
      <c r="B9" s="27" t="s">
        <v>6</v>
      </c>
      <c r="C9" s="27" t="str">
        <f>_xlfn.CONCAT(Setor!B10)</f>
        <v>AGILIDADE</v>
      </c>
      <c r="D9" s="9"/>
      <c r="E9" s="9"/>
      <c r="F9" s="9"/>
      <c r="G9" s="9"/>
      <c r="H9" s="9"/>
    </row>
    <row r="10" spans="1:8" ht="18">
      <c r="A10" s="20"/>
      <c r="B10" s="27" t="s">
        <v>7</v>
      </c>
      <c r="C10" s="27" t="str">
        <f>_xlfn.CONCAT(Setor!B10)</f>
        <v>AGILIDADE</v>
      </c>
      <c r="D10" s="9"/>
      <c r="E10" s="9"/>
      <c r="F10" s="9"/>
      <c r="G10" s="9"/>
      <c r="H10" s="9"/>
    </row>
    <row r="11" spans="1:8" ht="18">
      <c r="A11" s="20"/>
      <c r="B11" s="27" t="s">
        <v>8</v>
      </c>
      <c r="C11" s="27" t="s">
        <v>9</v>
      </c>
      <c r="D11" s="9"/>
      <c r="E11" s="9"/>
      <c r="F11" s="9"/>
      <c r="G11" s="9"/>
      <c r="H11" s="9"/>
    </row>
    <row r="12" spans="1:8" ht="18">
      <c r="A12" s="20"/>
      <c r="B12" s="31" t="s">
        <v>10</v>
      </c>
      <c r="C12" s="30" t="str">
        <f>_xlfn.CONCAT(Setor!B7)</f>
        <v>INTELIGENCIA DE REDES</v>
      </c>
      <c r="D12" s="25"/>
      <c r="E12" s="25"/>
      <c r="F12" s="25"/>
      <c r="G12" s="9"/>
      <c r="H12" s="9"/>
    </row>
    <row r="13" spans="1:8" ht="18">
      <c r="A13" s="20"/>
      <c r="B13" s="27" t="s">
        <v>11</v>
      </c>
      <c r="C13" s="27" t="str">
        <f>_xlfn.CONCAT(Setor!B7)</f>
        <v>INTELIGENCIA DE REDES</v>
      </c>
      <c r="D13" s="9"/>
      <c r="E13" s="9"/>
      <c r="F13" s="9"/>
      <c r="G13" s="9"/>
      <c r="H13" s="9"/>
    </row>
    <row r="14" spans="1:8" ht="18">
      <c r="A14" s="20"/>
      <c r="B14" s="27" t="s">
        <v>12</v>
      </c>
      <c r="C14" s="27" t="str">
        <f>_xlfn.CONCAT(Setor!B11)</f>
        <v>INTELIGENCIA DE DADOS</v>
      </c>
      <c r="D14" s="9"/>
      <c r="E14" s="9"/>
      <c r="F14" s="9"/>
      <c r="G14" s="9"/>
      <c r="H14" s="9"/>
    </row>
    <row r="15" spans="1:8" ht="18">
      <c r="A15" s="20"/>
      <c r="B15" s="27" t="s">
        <v>13</v>
      </c>
      <c r="C15" s="27" t="str">
        <f>_xlfn.CONCAT(Setor!B5)</f>
        <v>RELACIONAMENTO COM O CLIENTE</v>
      </c>
      <c r="D15" s="9"/>
      <c r="E15" s="9"/>
      <c r="F15" s="9"/>
      <c r="G15" s="9"/>
      <c r="H15" s="9"/>
    </row>
    <row r="16" spans="1:8" ht="18">
      <c r="A16" s="20"/>
      <c r="B16" s="27" t="s">
        <v>14</v>
      </c>
      <c r="C16" s="27" t="str">
        <f>_xlfn.CONCAT(Setor!B8)</f>
        <v>FINANCEIRO</v>
      </c>
      <c r="D16" s="9"/>
      <c r="E16" s="9"/>
      <c r="F16" s="9"/>
      <c r="G16" s="9"/>
      <c r="H16" s="9"/>
    </row>
    <row r="17" spans="1:8" ht="18">
      <c r="A17" s="18"/>
      <c r="B17" s="28" t="s">
        <v>15</v>
      </c>
      <c r="C17" s="30" t="str">
        <f>_xlfn.CONCAT(Setor!B8)</f>
        <v>FINANCEIRO</v>
      </c>
      <c r="D17" s="25"/>
      <c r="E17" s="25"/>
      <c r="F17" s="25"/>
      <c r="G17" s="9"/>
      <c r="H17" s="9"/>
    </row>
    <row r="18" spans="1:8" ht="18">
      <c r="A18" s="18"/>
      <c r="B18" s="31" t="s">
        <v>16</v>
      </c>
      <c r="C18" s="30" t="str">
        <f>_xlfn.CONCAT(Setor!B8)</f>
        <v>FINANCEIRO</v>
      </c>
      <c r="D18" s="25"/>
      <c r="E18" s="25"/>
      <c r="F18" s="25"/>
      <c r="G18" s="9"/>
      <c r="H18" s="9"/>
    </row>
    <row r="19" spans="1:8" ht="18">
      <c r="A19" s="18"/>
      <c r="B19" s="31" t="s">
        <v>17</v>
      </c>
      <c r="C19" s="30" t="str">
        <f>_xlfn.CONCAT(Setor!B8)</f>
        <v>FINANCEIRO</v>
      </c>
      <c r="D19" s="25"/>
      <c r="E19" s="25"/>
      <c r="F19" s="25"/>
      <c r="G19" s="9"/>
      <c r="H19" s="9"/>
    </row>
    <row r="20" spans="1:8" ht="18">
      <c r="A20" s="18"/>
      <c r="B20" s="31" t="s">
        <v>18</v>
      </c>
      <c r="C20" s="30" t="str">
        <f>_xlfn.CONCAT(Setor!B9)</f>
        <v>COMERCIAL</v>
      </c>
      <c r="D20" s="25"/>
      <c r="E20" s="25"/>
      <c r="F20" s="25"/>
      <c r="G20" s="9"/>
      <c r="H20" s="9"/>
    </row>
    <row r="21" spans="1:8" ht="18">
      <c r="A21" s="18"/>
      <c r="B21" s="31" t="s">
        <v>19</v>
      </c>
      <c r="C21" s="30" t="s">
        <v>20</v>
      </c>
      <c r="D21" s="25"/>
      <c r="E21" s="25"/>
      <c r="F21" s="25"/>
      <c r="G21" s="9"/>
      <c r="H21" s="9"/>
    </row>
    <row r="22" spans="1:8" ht="18">
      <c r="A22" s="18"/>
      <c r="B22" s="31" t="s">
        <v>21</v>
      </c>
      <c r="C22" s="30" t="str">
        <f>_xlfn.CONCAT(Setor!B9)</f>
        <v>COMERCIAL</v>
      </c>
      <c r="D22" s="25"/>
      <c r="E22" s="25"/>
      <c r="F22" s="25"/>
      <c r="G22" s="9"/>
      <c r="H22" s="9"/>
    </row>
    <row r="23" spans="1:8" ht="18">
      <c r="A23" s="18"/>
      <c r="B23" s="28" t="s">
        <v>22</v>
      </c>
      <c r="C23" s="28" t="str">
        <f>_xlfn.CONCAT(Setor!B9)</f>
        <v>COMERCIAL</v>
      </c>
      <c r="D23" s="25"/>
      <c r="E23" s="25"/>
      <c r="F23" s="25"/>
      <c r="G23" s="9"/>
      <c r="H23" s="9"/>
    </row>
    <row r="24" spans="1:8" ht="18">
      <c r="A24" s="18"/>
      <c r="B24" s="28" t="s">
        <v>23</v>
      </c>
      <c r="C24" s="30" t="str">
        <f>_xlfn.CONCAT(Setor!B9)</f>
        <v>COMERCIAL</v>
      </c>
      <c r="D24" s="25"/>
      <c r="E24" s="25"/>
      <c r="F24" s="25"/>
      <c r="G24" s="9"/>
      <c r="H24" s="9"/>
    </row>
    <row r="25" spans="1:8" ht="18">
      <c r="A25" s="18"/>
      <c r="B25" s="31" t="s">
        <v>24</v>
      </c>
      <c r="C25" s="30" t="str">
        <f>_xlfn.CONCAT(Setor!B9)</f>
        <v>COMERCIAL</v>
      </c>
      <c r="D25" s="25"/>
      <c r="E25" s="25"/>
      <c r="F25" s="25"/>
      <c r="G25" s="9"/>
      <c r="H25" s="9"/>
    </row>
    <row r="26" spans="1:8" ht="18">
      <c r="A26" s="18"/>
      <c r="B26" s="31" t="s">
        <v>25</v>
      </c>
      <c r="C26" s="30" t="s">
        <v>26</v>
      </c>
      <c r="D26" s="25"/>
      <c r="E26" s="25"/>
      <c r="F26" s="25"/>
      <c r="G26" s="9"/>
      <c r="H26" s="9"/>
    </row>
    <row r="27" spans="1:8" ht="18">
      <c r="A27" s="18"/>
      <c r="B27" s="31" t="s">
        <v>27</v>
      </c>
      <c r="C27" s="30" t="str">
        <f>_xlfn.CONCAT(Setor!B9)</f>
        <v>COMERCIAL</v>
      </c>
      <c r="D27" s="25"/>
      <c r="E27" s="25"/>
      <c r="F27" s="25"/>
      <c r="G27" s="9"/>
      <c r="H27" s="9"/>
    </row>
    <row r="28" spans="1:8" ht="18">
      <c r="A28" s="18"/>
      <c r="B28" s="28" t="s">
        <v>28</v>
      </c>
      <c r="C28" s="28" t="s">
        <v>29</v>
      </c>
      <c r="D28" s="25"/>
      <c r="E28" s="25"/>
      <c r="F28" s="25"/>
      <c r="G28" s="9"/>
      <c r="H28" s="9"/>
    </row>
    <row r="29" spans="1:8" ht="18">
      <c r="A29" s="18"/>
      <c r="B29" s="28" t="s">
        <v>30</v>
      </c>
      <c r="C29" s="28" t="s">
        <v>31</v>
      </c>
      <c r="D29" s="25"/>
      <c r="E29" s="25"/>
      <c r="F29" s="25"/>
      <c r="G29" s="9"/>
      <c r="H29" s="9"/>
    </row>
    <row r="30" spans="1:8" ht="18">
      <c r="A30" s="18"/>
      <c r="B30" s="31" t="s">
        <v>32</v>
      </c>
      <c r="C30" s="31" t="str">
        <f>_xlfn.CONCAT(Setor!B12)</f>
        <v>EXPERIENCIA DAS PESSOAS</v>
      </c>
      <c r="D30" s="25"/>
      <c r="E30" s="25"/>
      <c r="F30" s="25"/>
      <c r="G30" s="9"/>
      <c r="H30" s="9"/>
    </row>
    <row r="31" spans="1:8" ht="18">
      <c r="A31" s="18"/>
      <c r="B31" s="31" t="s">
        <v>33</v>
      </c>
      <c r="C31" s="28" t="str">
        <f>_xlfn.CONCAT(Setor!B12)</f>
        <v>EXPERIENCIA DAS PESSOAS</v>
      </c>
      <c r="D31" s="25"/>
      <c r="E31" s="25"/>
      <c r="F31" s="25"/>
      <c r="G31" s="9"/>
      <c r="H31" s="9"/>
    </row>
    <row r="32" spans="1:8" ht="18">
      <c r="A32" s="18"/>
      <c r="B32" s="29" t="s">
        <v>34</v>
      </c>
      <c r="C32" s="29" t="str">
        <f>_xlfn.CONCAT(Setor!B13)</f>
        <v>GESTÃO DE FORNECEDORES</v>
      </c>
      <c r="D32" s="25"/>
      <c r="E32" s="25"/>
      <c r="F32" s="25"/>
      <c r="G32" s="9"/>
      <c r="H32" s="9"/>
    </row>
    <row r="33" spans="1:8" ht="18">
      <c r="A33" s="18"/>
      <c r="B33" s="31" t="s">
        <v>35</v>
      </c>
      <c r="C33" s="31" t="str">
        <f>_xlfn.CONCAT(Setor!B13)</f>
        <v>GESTÃO DE FORNECEDORES</v>
      </c>
      <c r="D33" s="25"/>
      <c r="E33" s="25"/>
      <c r="F33" s="25"/>
      <c r="G33" s="9"/>
      <c r="H33" s="9"/>
    </row>
    <row r="34" spans="1:8" ht="18">
      <c r="A34" s="18"/>
      <c r="B34" s="31" t="s">
        <v>36</v>
      </c>
      <c r="C34" s="31" t="str">
        <f>_xlfn.CONCAT(Setor!B13)</f>
        <v>GESTÃO DE FORNECEDORES</v>
      </c>
      <c r="D34" s="25"/>
      <c r="E34" s="25"/>
      <c r="F34" s="25"/>
      <c r="G34" s="9"/>
      <c r="H34" s="9"/>
    </row>
    <row r="35" spans="1:8" ht="18">
      <c r="A35" s="18"/>
      <c r="B35" s="29" t="s">
        <v>37</v>
      </c>
      <c r="C35" s="29" t="str">
        <f>_xlfn.CONCAT(Setor!B13)</f>
        <v>GESTÃO DE FORNECEDORES</v>
      </c>
      <c r="D35" s="25"/>
      <c r="E35" s="25"/>
      <c r="F35" s="25"/>
      <c r="G35" s="9"/>
      <c r="H35" s="9"/>
    </row>
    <row r="36" spans="1:8" ht="18">
      <c r="A36" s="18"/>
      <c r="B36" s="31" t="s">
        <v>38</v>
      </c>
      <c r="C36" s="31" t="str">
        <f>_xlfn.CONCAT(Setor!B5)</f>
        <v>RELACIONAMENTO COM O CLIENTE</v>
      </c>
      <c r="D36" s="25"/>
      <c r="E36" s="25"/>
      <c r="F36" s="25"/>
      <c r="G36" s="9"/>
      <c r="H36" s="9"/>
    </row>
    <row r="37" spans="1:8" ht="18">
      <c r="A37" s="18"/>
      <c r="B37" s="31" t="s">
        <v>39</v>
      </c>
      <c r="C37" s="31" t="str">
        <f>_xlfn.CONCAT(Setor!B5)</f>
        <v>RELACIONAMENTO COM O CLIENTE</v>
      </c>
      <c r="D37" s="25"/>
      <c r="E37" s="25"/>
      <c r="F37" s="25"/>
      <c r="G37" s="9"/>
      <c r="H37" s="9"/>
    </row>
    <row r="38" spans="1:8" ht="18">
      <c r="A38" s="18"/>
      <c r="B38" s="28" t="s">
        <v>40</v>
      </c>
      <c r="C38" s="28" t="str">
        <f>_xlfn.CONCAT(Setor!B5)</f>
        <v>RELACIONAMENTO COM O CLIENTE</v>
      </c>
      <c r="D38" s="25"/>
      <c r="E38" s="25"/>
      <c r="F38" s="25"/>
      <c r="G38" s="9"/>
      <c r="H38" s="9"/>
    </row>
    <row r="39" spans="1:8" ht="18">
      <c r="A39" s="18"/>
      <c r="B39" s="31" t="s">
        <v>41</v>
      </c>
      <c r="C39" s="31" t="str">
        <f>_xlfn.CONCAT(Setor!B5)</f>
        <v>RELACIONAMENTO COM O CLIENTE</v>
      </c>
      <c r="D39" s="25"/>
      <c r="E39" s="25"/>
      <c r="F39" s="25"/>
      <c r="G39" s="9"/>
      <c r="H39" s="9"/>
    </row>
    <row r="40" spans="1:8" ht="18.75" customHeight="1">
      <c r="A40" s="18"/>
      <c r="B40" s="28" t="s">
        <v>42</v>
      </c>
      <c r="C40" s="28" t="str">
        <f>_xlfn.CONCAT(Setor!B11)</f>
        <v>INTELIGENCIA DE DADOS</v>
      </c>
      <c r="D40" s="25"/>
      <c r="E40" s="25"/>
      <c r="F40" s="25"/>
      <c r="G40" s="9"/>
      <c r="H40" s="9"/>
    </row>
    <row r="41" spans="1:8" ht="18.75" customHeight="1">
      <c r="A41" s="18"/>
      <c r="B41" s="31" t="s">
        <v>43</v>
      </c>
      <c r="C41" s="31" t="str">
        <f>_xlfn.CONCAT(Setor!B11)</f>
        <v>INTELIGENCIA DE DADOS</v>
      </c>
      <c r="D41" s="25"/>
      <c r="E41" s="25"/>
      <c r="F41" s="25"/>
      <c r="G41" s="9"/>
      <c r="H41" s="9"/>
    </row>
    <row r="42" spans="1:8" ht="18.75" customHeight="1">
      <c r="A42" s="18"/>
      <c r="B42" s="31" t="s">
        <v>44</v>
      </c>
      <c r="C42" s="31" t="str">
        <f>_xlfn.CONCAT(Setor!B5)</f>
        <v>RELACIONAMENTO COM O CLIENTE</v>
      </c>
      <c r="D42" s="25"/>
      <c r="E42" s="25"/>
      <c r="F42" s="25"/>
      <c r="G42" s="9"/>
      <c r="H42" s="9"/>
    </row>
    <row r="43" spans="1:8" ht="18.75" customHeight="1">
      <c r="A43" s="18"/>
      <c r="B43" s="31" t="s">
        <v>45</v>
      </c>
      <c r="C43" s="31" t="str">
        <f>_xlfn.CONCAT(Setor!B5)</f>
        <v>RELACIONAMENTO COM O CLIENTE</v>
      </c>
      <c r="D43" s="25"/>
      <c r="E43" s="25"/>
      <c r="F43" s="25"/>
      <c r="G43" s="9"/>
      <c r="H43" s="9"/>
    </row>
    <row r="44" spans="1:8" ht="19.5" customHeight="1">
      <c r="A44" s="18"/>
      <c r="B44" s="28" t="s">
        <v>46</v>
      </c>
      <c r="C44" s="28" t="str">
        <f>_xlfn.CONCAT(Setor!B5)</f>
        <v>RELACIONAMENTO COM O CLIENTE</v>
      </c>
      <c r="D44" s="25"/>
      <c r="E44" s="25"/>
      <c r="F44" s="25"/>
      <c r="G44" s="9"/>
      <c r="H44" s="9"/>
    </row>
    <row r="45" spans="1:8" ht="18" customHeight="1">
      <c r="A45" s="18"/>
      <c r="B45" s="28" t="s">
        <v>47</v>
      </c>
      <c r="C45" s="28" t="str">
        <f>_xlfn.CONCAT(Setor!B5)</f>
        <v>RELACIONAMENTO COM O CLIENTE</v>
      </c>
      <c r="D45" s="25"/>
      <c r="E45" s="25"/>
      <c r="F45" s="25"/>
      <c r="G45" s="9"/>
      <c r="H45" s="9"/>
    </row>
    <row r="46" spans="1:8" ht="18" customHeight="1">
      <c r="A46" s="18"/>
      <c r="B46" s="31" t="s">
        <v>48</v>
      </c>
      <c r="C46" s="31" t="str">
        <f>_xlfn.CONCAT(Setor!B5)</f>
        <v>RELACIONAMENTO COM O CLIENTE</v>
      </c>
      <c r="D46" s="25"/>
      <c r="E46" s="25"/>
      <c r="F46" s="25"/>
      <c r="G46" s="9"/>
      <c r="H46" s="9"/>
    </row>
    <row r="47" spans="1:8" ht="18" customHeight="1">
      <c r="A47" s="18"/>
      <c r="B47" s="31" t="s">
        <v>49</v>
      </c>
      <c r="C47" s="31" t="str">
        <f>_xlfn.CONCAT(Setor!B5)</f>
        <v>RELACIONAMENTO COM O CLIENTE</v>
      </c>
      <c r="D47" s="25"/>
      <c r="E47" s="25"/>
      <c r="F47" s="25"/>
      <c r="G47" s="9"/>
      <c r="H47" s="9"/>
    </row>
    <row r="48" spans="1:8" ht="18" customHeight="1">
      <c r="A48" s="18"/>
      <c r="B48" s="31" t="s">
        <v>50</v>
      </c>
      <c r="C48" s="31" t="str">
        <f>_xlfn.CONCAT(Setor!B5)</f>
        <v>RELACIONAMENTO COM O CLIENTE</v>
      </c>
      <c r="D48" s="25"/>
      <c r="E48" s="25"/>
      <c r="F48" s="25"/>
      <c r="G48" s="9"/>
      <c r="H48" s="9"/>
    </row>
    <row r="49" spans="1:8" ht="18.75" customHeight="1">
      <c r="A49" s="18"/>
      <c r="B49" s="31" t="s">
        <v>51</v>
      </c>
      <c r="C49" s="31" t="s">
        <v>52</v>
      </c>
      <c r="D49" s="25"/>
      <c r="E49" s="25"/>
      <c r="F49" s="25"/>
      <c r="G49" s="9"/>
      <c r="H49" s="9"/>
    </row>
    <row r="50" spans="1:8" ht="18.75" customHeight="1">
      <c r="A50" s="18"/>
      <c r="B50" s="28" t="s">
        <v>53</v>
      </c>
      <c r="C50" s="28" t="str">
        <f>_xlfn.CONCAT(Setor!B5)</f>
        <v>RELACIONAMENTO COM O CLIENTE</v>
      </c>
      <c r="D50" s="25"/>
      <c r="E50" s="25"/>
      <c r="F50" s="25"/>
      <c r="G50" s="9"/>
      <c r="H50" s="9"/>
    </row>
    <row r="51" spans="1:8" ht="18.75" customHeight="1">
      <c r="A51" s="18"/>
      <c r="B51" s="31" t="s">
        <v>54</v>
      </c>
      <c r="C51" s="31" t="str">
        <f>_xlfn.CONCAT(Setor!B5)</f>
        <v>RELACIONAMENTO COM O CLIENTE</v>
      </c>
      <c r="D51" s="25"/>
      <c r="E51" s="25"/>
      <c r="F51" s="25"/>
      <c r="G51" s="9"/>
      <c r="H51" s="9"/>
    </row>
    <row r="52" spans="1:8" ht="18.75" customHeight="1">
      <c r="A52" s="18"/>
      <c r="B52" s="31" t="s">
        <v>55</v>
      </c>
      <c r="C52" s="31" t="str">
        <f>_xlfn.CONCAT(Setor!B5)</f>
        <v>RELACIONAMENTO COM O CLIENTE</v>
      </c>
      <c r="D52" s="25"/>
      <c r="E52" s="25"/>
      <c r="F52" s="25"/>
      <c r="G52" s="9"/>
      <c r="H52" s="9"/>
    </row>
    <row r="53" spans="1:8" ht="18.75" customHeight="1">
      <c r="A53" s="18"/>
      <c r="B53" s="31" t="s">
        <v>56</v>
      </c>
      <c r="C53" s="31" t="str">
        <f>_xlfn.CONCAT(Setor!B7)</f>
        <v>INTELIGENCIA DE REDES</v>
      </c>
      <c r="D53" s="25"/>
      <c r="E53" s="25"/>
      <c r="F53" s="25"/>
      <c r="G53" s="9"/>
      <c r="H53" s="9"/>
    </row>
    <row r="54" spans="1:8" ht="18.75" customHeight="1">
      <c r="A54" s="18"/>
      <c r="B54" s="31" t="s">
        <v>57</v>
      </c>
      <c r="C54" s="31" t="str">
        <f>_xlfn.CONCAT(Setor!B5)</f>
        <v>RELACIONAMENTO COM O CLIENTE</v>
      </c>
      <c r="D54" s="25"/>
      <c r="E54" s="25"/>
      <c r="F54" s="25"/>
      <c r="G54" s="9"/>
      <c r="H54" s="9"/>
    </row>
    <row r="55" spans="1:8" ht="18.75" customHeight="1">
      <c r="A55" s="18"/>
      <c r="B55" s="31" t="s">
        <v>58</v>
      </c>
      <c r="C55" s="31" t="str">
        <f>_xlfn.CONCAT(Setor!B5)</f>
        <v>RELACIONAMENTO COM O CLIENTE</v>
      </c>
      <c r="D55" s="25"/>
      <c r="E55" s="25"/>
      <c r="F55" s="25"/>
      <c r="G55" s="9"/>
      <c r="H55" s="9"/>
    </row>
    <row r="56" spans="1:8" ht="18.75" customHeight="1">
      <c r="A56" s="18"/>
      <c r="B56" s="31" t="s">
        <v>59</v>
      </c>
      <c r="C56" s="31" t="str">
        <f>_xlfn.CONCAT(Setor!B5)</f>
        <v>RELACIONAMENTO COM O CLIENTE</v>
      </c>
      <c r="D56" s="25"/>
      <c r="E56" s="25"/>
      <c r="F56" s="25"/>
      <c r="G56" s="9"/>
      <c r="H56" s="9"/>
    </row>
    <row r="57" spans="1:8" ht="18.75" customHeight="1">
      <c r="A57" s="18"/>
      <c r="B57" s="31" t="s">
        <v>60</v>
      </c>
      <c r="C57" s="31" t="str">
        <f>_xlfn.CONCAT(Setor!B5)</f>
        <v>RELACIONAMENTO COM O CLIENTE</v>
      </c>
      <c r="D57" s="25"/>
      <c r="E57" s="25"/>
      <c r="F57" s="25"/>
      <c r="G57" s="9"/>
      <c r="H57" s="9"/>
    </row>
    <row r="58" spans="1:8" ht="19.5" customHeight="1">
      <c r="A58" s="18"/>
      <c r="B58" s="31" t="s">
        <v>61</v>
      </c>
      <c r="C58" s="31" t="str">
        <f>_xlfn.CONCAT(Setor!B5)</f>
        <v>RELACIONAMENTO COM O CLIENTE</v>
      </c>
      <c r="D58" s="25"/>
      <c r="E58" s="25"/>
      <c r="F58" s="25"/>
      <c r="G58" s="9"/>
      <c r="H58" s="9"/>
    </row>
    <row r="59" spans="1:8" ht="18.75" customHeight="1">
      <c r="A59" s="18"/>
      <c r="B59" s="31" t="s">
        <v>62</v>
      </c>
      <c r="C59" s="31" t="str">
        <f>_xlfn.CONCAT(Setor!B5)</f>
        <v>RELACIONAMENTO COM O CLIENTE</v>
      </c>
      <c r="D59" s="25"/>
      <c r="E59" s="25"/>
      <c r="F59" s="25"/>
      <c r="G59" s="9"/>
      <c r="H59" s="9"/>
    </row>
    <row r="60" spans="1:8" ht="18.75" customHeight="1">
      <c r="A60" s="18"/>
      <c r="B60" s="31" t="s">
        <v>63</v>
      </c>
      <c r="C60" s="31" t="str">
        <f>_xlfn.CONCAT(Setor!B5)</f>
        <v>RELACIONAMENTO COM O CLIENTE</v>
      </c>
      <c r="D60" s="25"/>
      <c r="E60" s="25"/>
      <c r="F60" s="25"/>
      <c r="G60" s="9"/>
      <c r="H60" s="9"/>
    </row>
    <row r="61" spans="1:8" ht="20.25" customHeight="1">
      <c r="A61" s="18"/>
      <c r="B61" s="31" t="s">
        <v>64</v>
      </c>
      <c r="C61" s="31" t="str">
        <f>_xlfn.CONCAT(Setor!B5)</f>
        <v>RELACIONAMENTO COM O CLIENTE</v>
      </c>
      <c r="D61" s="25"/>
      <c r="E61" s="25"/>
      <c r="F61" s="25"/>
      <c r="G61" s="9"/>
      <c r="H61" s="9"/>
    </row>
    <row r="62" spans="1:8" ht="20.25" customHeight="1">
      <c r="A62" s="18"/>
      <c r="B62" s="31" t="s">
        <v>65</v>
      </c>
      <c r="C62" s="31" t="str">
        <f>_xlfn.CONCAT(Setor!B8)</f>
        <v>FINANCEIRO</v>
      </c>
      <c r="D62" s="25"/>
      <c r="E62" s="25"/>
      <c r="F62" s="25"/>
      <c r="G62" s="9"/>
      <c r="H62" s="9"/>
    </row>
    <row r="63" spans="1:8" ht="20.25" customHeight="1">
      <c r="A63" s="18"/>
      <c r="B63" s="31" t="s">
        <v>66</v>
      </c>
      <c r="C63" s="31" t="str">
        <f>_xlfn.CONCAT(Setor!B5)</f>
        <v>RELACIONAMENTO COM O CLIENTE</v>
      </c>
      <c r="D63" s="25"/>
      <c r="E63" s="25"/>
      <c r="F63" s="25"/>
      <c r="G63" s="9"/>
      <c r="H63" s="9"/>
    </row>
    <row r="64" spans="1:8" ht="20.25" customHeight="1">
      <c r="A64" s="18"/>
      <c r="B64" s="31" t="s">
        <v>45</v>
      </c>
      <c r="C64" s="31" t="str">
        <f>_xlfn.CONCAT(Setor!B5)</f>
        <v>RELACIONAMENTO COM O CLIENTE</v>
      </c>
      <c r="D64" s="25"/>
      <c r="E64" s="25"/>
      <c r="F64" s="25"/>
      <c r="G64" s="9"/>
      <c r="H64" s="9"/>
    </row>
    <row r="65" spans="1:8" ht="18">
      <c r="A65" s="18"/>
      <c r="B65" s="31" t="s">
        <v>67</v>
      </c>
      <c r="C65" s="31" t="str">
        <f>_xlfn.CONCAT(Setor!B5)</f>
        <v>RELACIONAMENTO COM O CLIENTE</v>
      </c>
      <c r="D65" s="31"/>
      <c r="E65" s="25"/>
      <c r="F65" s="25"/>
      <c r="G65" s="9"/>
      <c r="H65" s="9"/>
    </row>
    <row r="66" spans="1:8" ht="18">
      <c r="A66" s="18"/>
      <c r="B66" s="31" t="s">
        <v>68</v>
      </c>
      <c r="C66" s="67" t="str">
        <f>_xlfn.CONCAT(Setor!B5)</f>
        <v>RELACIONAMENTO COM O CLIENTE</v>
      </c>
      <c r="D66" s="25"/>
      <c r="E66" s="25"/>
      <c r="F66" s="25"/>
      <c r="G66" s="9"/>
      <c r="H66" s="9"/>
    </row>
    <row r="67" spans="1:8" ht="18">
      <c r="A67" s="18"/>
      <c r="B67" s="31" t="s">
        <v>69</v>
      </c>
      <c r="C67" s="67" t="str">
        <f>_xlfn.CONCAT(Setor!B5)</f>
        <v>RELACIONAMENTO COM O CLIENTE</v>
      </c>
      <c r="D67" s="25"/>
      <c r="E67" s="25"/>
      <c r="F67" s="25"/>
      <c r="G67" s="9"/>
      <c r="H67" s="9"/>
    </row>
    <row r="68" spans="1:8" ht="18">
      <c r="A68" s="18"/>
      <c r="B68" s="31" t="s">
        <v>70</v>
      </c>
      <c r="C68" s="31" t="str">
        <f>_xlfn.CONCAT(Setor!B5)</f>
        <v>RELACIONAMENTO COM O CLIENTE</v>
      </c>
      <c r="D68" s="25"/>
      <c r="E68" s="25"/>
      <c r="F68" s="25"/>
      <c r="G68" s="9"/>
      <c r="H68" s="9"/>
    </row>
    <row r="69" spans="1:8" ht="18">
      <c r="A69" s="18"/>
      <c r="B69" s="31" t="s">
        <v>71</v>
      </c>
      <c r="C69" s="31" t="str">
        <f>_xlfn.CONCAT(Setor!B5)</f>
        <v>RELACIONAMENTO COM O CLIENTE</v>
      </c>
      <c r="D69" s="25"/>
      <c r="E69" s="25"/>
      <c r="F69" s="25"/>
      <c r="G69" s="9"/>
      <c r="H69" s="9"/>
    </row>
    <row r="70" spans="1:8" ht="18.75" customHeight="1">
      <c r="A70" s="18"/>
      <c r="B70" s="31" t="s">
        <v>72</v>
      </c>
      <c r="C70" s="30" t="str">
        <f>_xlfn.CONCAT(Setor!B5)</f>
        <v>RELACIONAMENTO COM O CLIENTE</v>
      </c>
      <c r="D70" s="29"/>
      <c r="E70" s="29"/>
      <c r="F70" s="29"/>
      <c r="G70" s="9"/>
      <c r="H70" s="9"/>
    </row>
    <row r="71" spans="1:8" ht="18.75" customHeight="1">
      <c r="A71" s="18"/>
      <c r="B71" s="31" t="s">
        <v>73</v>
      </c>
      <c r="C71" s="30" t="str">
        <f>_xlfn.CONCAT(Setor!B5)</f>
        <v>RELACIONAMENTO COM O CLIENTE</v>
      </c>
      <c r="D71" s="29"/>
      <c r="E71" s="29"/>
      <c r="F71" s="29"/>
      <c r="G71" s="9"/>
      <c r="H71" s="9"/>
    </row>
    <row r="72" spans="1:8" ht="18.75" customHeight="1">
      <c r="A72" s="18"/>
      <c r="B72" s="31" t="s">
        <v>74</v>
      </c>
      <c r="C72" s="30" t="str">
        <f>_xlfn.CONCAT(Setor!B5)</f>
        <v>RELACIONAMENTO COM O CLIENTE</v>
      </c>
      <c r="D72" s="29"/>
      <c r="E72" s="29"/>
      <c r="F72" s="29"/>
      <c r="G72" s="9"/>
      <c r="H72" s="9"/>
    </row>
    <row r="73" spans="1:8" ht="18.75" customHeight="1">
      <c r="A73" s="18"/>
      <c r="B73" s="31" t="s">
        <v>75</v>
      </c>
      <c r="C73" s="30" t="str">
        <f>_xlfn.CONCAT(Setor!B5)</f>
        <v>RELACIONAMENTO COM O CLIENTE</v>
      </c>
      <c r="D73" s="29"/>
      <c r="E73" s="29"/>
      <c r="F73" s="29"/>
      <c r="G73" s="9"/>
      <c r="H73" s="9"/>
    </row>
    <row r="74" spans="1:8" ht="18.75" customHeight="1">
      <c r="A74" s="18"/>
      <c r="B74" s="31" t="s">
        <v>76</v>
      </c>
      <c r="C74" s="30" t="str">
        <f>_xlfn.CONCAT(Setor!B5)</f>
        <v>RELACIONAMENTO COM O CLIENTE</v>
      </c>
      <c r="D74" s="29"/>
      <c r="E74" s="29"/>
      <c r="F74" s="29"/>
      <c r="G74" s="9"/>
      <c r="H74" s="9"/>
    </row>
    <row r="75" spans="1:8" ht="18.75" customHeight="1">
      <c r="A75" s="18"/>
      <c r="B75" s="31" t="s">
        <v>77</v>
      </c>
      <c r="C75" s="30" t="str">
        <f>_xlfn.CONCAT(Setor!B5)</f>
        <v>RELACIONAMENTO COM O CLIENTE</v>
      </c>
      <c r="D75" s="29"/>
      <c r="E75" s="29"/>
      <c r="F75" s="29"/>
      <c r="G75" s="9"/>
      <c r="H75" s="9"/>
    </row>
    <row r="76" spans="1:8" ht="18">
      <c r="A76" s="18"/>
      <c r="B76" s="27" t="s">
        <v>78</v>
      </c>
      <c r="C76" s="27" t="str">
        <f>_xlfn.CONCAT(Setor!B8)</f>
        <v>FINANCEIRO</v>
      </c>
      <c r="D76" s="9"/>
      <c r="E76" s="9"/>
      <c r="F76" s="9"/>
      <c r="G76" s="9"/>
      <c r="H76" s="9"/>
    </row>
    <row r="77" spans="1:8" ht="18">
      <c r="A77" s="18"/>
      <c r="B77" s="27" t="s">
        <v>79</v>
      </c>
      <c r="C77" s="27" t="s">
        <v>80</v>
      </c>
      <c r="D77" s="9"/>
      <c r="E77" s="9"/>
      <c r="F77" s="9"/>
      <c r="G77" s="9"/>
      <c r="H77" s="9"/>
    </row>
    <row r="78" spans="1:8" ht="18">
      <c r="A78" s="18"/>
      <c r="B78" s="27" t="s">
        <v>81</v>
      </c>
      <c r="C78" s="27" t="str">
        <f>_xlfn.CONCAT(Setor!B5)</f>
        <v>RELACIONAMENTO COM O CLIENTE</v>
      </c>
      <c r="D78" s="9"/>
      <c r="E78" s="9"/>
      <c r="F78" s="9"/>
      <c r="G78" s="9"/>
      <c r="H78" s="9"/>
    </row>
    <row r="79" spans="1:8" ht="18">
      <c r="A79" s="18"/>
      <c r="B79" s="27" t="s">
        <v>82</v>
      </c>
      <c r="C79" s="27" t="s">
        <v>83</v>
      </c>
      <c r="D79" s="9"/>
      <c r="E79" s="9"/>
      <c r="F79" s="9"/>
      <c r="G79" s="9"/>
      <c r="H79" s="9"/>
    </row>
    <row r="80" spans="1:8" ht="18">
      <c r="A80" s="18"/>
      <c r="B80" s="27" t="s">
        <v>82</v>
      </c>
      <c r="C80" s="27" t="str">
        <f>_xlfn.CONCAT(Setor!B6)</f>
        <v>INFRA</v>
      </c>
      <c r="D80" s="9"/>
      <c r="E80" s="9"/>
      <c r="F80" s="9"/>
      <c r="G80" s="9"/>
      <c r="H80" s="9"/>
    </row>
    <row r="81" spans="1:8" ht="18">
      <c r="A81" s="18"/>
      <c r="B81" s="27" t="s">
        <v>84</v>
      </c>
      <c r="C81" s="27" t="str">
        <f>_xlfn.CONCAT(Setor!B6)</f>
        <v>INFRA</v>
      </c>
      <c r="D81" s="9"/>
      <c r="E81" s="9"/>
      <c r="F81" s="9"/>
      <c r="G81" s="9"/>
      <c r="H81" s="9"/>
    </row>
    <row r="82" spans="1:8" ht="18">
      <c r="A82" s="18"/>
      <c r="B82" s="27" t="s">
        <v>85</v>
      </c>
      <c r="C82" s="27" t="str">
        <f>_xlfn.CONCAT(Setor!B6)</f>
        <v>INFRA</v>
      </c>
      <c r="D82" s="9"/>
      <c r="E82" s="9"/>
      <c r="F82" s="9"/>
      <c r="G82" s="9"/>
      <c r="H82" s="9"/>
    </row>
    <row r="83" spans="1:8" ht="18">
      <c r="A83" s="18"/>
      <c r="B83" s="27" t="s">
        <v>86</v>
      </c>
      <c r="C83" s="27" t="str">
        <f>_xlfn.CONCAT(Setor!B6)</f>
        <v>INFRA</v>
      </c>
      <c r="D83" s="9"/>
      <c r="E83" s="9"/>
      <c r="F83" s="9"/>
      <c r="G83" s="9"/>
      <c r="H83" s="9"/>
    </row>
    <row r="84" spans="1:8" ht="18">
      <c r="A84" s="18"/>
      <c r="B84" s="27" t="s">
        <v>87</v>
      </c>
      <c r="C84" s="27" t="str">
        <f>_xlfn.CONCAT(Setor!B5)</f>
        <v>RELACIONAMENTO COM O CLIENTE</v>
      </c>
      <c r="D84" s="9"/>
      <c r="E84" s="9"/>
      <c r="F84" s="9"/>
      <c r="G84" s="9"/>
      <c r="H84" s="9"/>
    </row>
    <row r="85" spans="1:8" ht="18">
      <c r="A85" s="18"/>
      <c r="B85" s="27" t="s">
        <v>88</v>
      </c>
      <c r="C85" s="27" t="str">
        <f>_xlfn.CONCAT(Setor!B9)</f>
        <v>COMERCIAL</v>
      </c>
      <c r="D85" s="9"/>
      <c r="E85" s="9"/>
      <c r="F85" s="9"/>
      <c r="G85" s="9"/>
      <c r="H85" s="9"/>
    </row>
    <row r="86" spans="1:8" ht="18">
      <c r="A86" s="18"/>
      <c r="B86" s="27" t="s">
        <v>89</v>
      </c>
      <c r="C86" s="27" t="str">
        <f>_xlfn.CONCAT(Setor!B9)</f>
        <v>COMERCIAL</v>
      </c>
      <c r="D86" s="9"/>
      <c r="E86" s="9"/>
      <c r="F86" s="9"/>
      <c r="G86" s="9"/>
      <c r="H86" s="9"/>
    </row>
    <row r="87" spans="1:8" ht="18">
      <c r="A87" s="18"/>
      <c r="B87" s="27" t="s">
        <v>90</v>
      </c>
      <c r="C87" s="27" t="str">
        <f>_xlfn.CONCAT(Setor!B9)</f>
        <v>COMERCIAL</v>
      </c>
      <c r="D87" s="9"/>
      <c r="E87" s="9"/>
      <c r="F87" s="9"/>
      <c r="G87" s="9"/>
      <c r="H87" s="9"/>
    </row>
    <row r="88" spans="1:8" ht="18">
      <c r="A88" s="18"/>
      <c r="B88" s="27" t="s">
        <v>91</v>
      </c>
      <c r="C88" s="27" t="str">
        <f>_xlfn.CONCAT(Setor!B9)</f>
        <v>COMERCIAL</v>
      </c>
      <c r="D88" s="9"/>
      <c r="E88" s="9"/>
      <c r="F88" s="9"/>
      <c r="G88" s="9"/>
      <c r="H88" s="9"/>
    </row>
    <row r="89" spans="1:8" ht="18">
      <c r="A89" s="18"/>
      <c r="B89" s="27" t="s">
        <v>92</v>
      </c>
      <c r="C89" s="27" t="str">
        <f>_xlfn.CONCAT(Setor!B5)</f>
        <v>RELACIONAMENTO COM O CLIENTE</v>
      </c>
      <c r="D89" s="9"/>
      <c r="E89" s="9"/>
      <c r="F89" s="9"/>
      <c r="G89" s="9"/>
      <c r="H89" s="9"/>
    </row>
    <row r="90" spans="1:8" ht="18">
      <c r="A90" s="18"/>
      <c r="B90" s="27" t="s">
        <v>93</v>
      </c>
      <c r="C90" s="27" t="str">
        <f>_xlfn.CONCAT(Setor!B5)</f>
        <v>RELACIONAMENTO COM O CLIENTE</v>
      </c>
      <c r="D90" s="9"/>
      <c r="E90" s="9"/>
      <c r="F90" s="9"/>
      <c r="G90" s="9"/>
      <c r="H90" s="9"/>
    </row>
    <row r="91" spans="1:8" ht="18">
      <c r="A91" s="9"/>
      <c r="B91" s="27" t="s">
        <v>94</v>
      </c>
      <c r="C91" s="27" t="str">
        <f>_xlfn.CONCAT(Setor!B15)</f>
        <v>COORDENADOR</v>
      </c>
      <c r="D91" s="9"/>
      <c r="E91" s="9"/>
      <c r="F91" s="9"/>
      <c r="G91" s="9"/>
      <c r="H91" s="9"/>
    </row>
    <row r="92" spans="1:8" ht="18">
      <c r="A92" s="9"/>
      <c r="B92" s="27" t="s">
        <v>95</v>
      </c>
      <c r="C92" s="27" t="str">
        <f>_xlfn.CONCAT(Setor!B5)</f>
        <v>RELACIONAMENTO COM O CLIENTE</v>
      </c>
      <c r="D92" s="9"/>
      <c r="E92" s="9"/>
      <c r="F92" s="9"/>
      <c r="G92" s="9"/>
      <c r="H92" s="9"/>
    </row>
    <row r="93" spans="1:8" ht="18">
      <c r="A93" s="9"/>
      <c r="B93" s="27" t="s">
        <v>96</v>
      </c>
      <c r="C93" s="27" t="str">
        <f>_xlfn.CONCAT(Setor!B9)</f>
        <v>COMERCIAL</v>
      </c>
      <c r="D93" s="9"/>
      <c r="E93" s="9"/>
      <c r="F93" s="9"/>
      <c r="G93" s="9"/>
      <c r="H93" s="9"/>
    </row>
    <row r="94" spans="1:8" ht="18">
      <c r="A94" s="9"/>
      <c r="B94" s="27" t="s">
        <v>97</v>
      </c>
      <c r="C94" s="27" t="str">
        <f>_xlfn.CONCAT(Setor!B5)</f>
        <v>RELACIONAMENTO COM O CLIENTE</v>
      </c>
      <c r="D94" s="9"/>
      <c r="E94" s="9"/>
      <c r="F94" s="9"/>
      <c r="G94" s="9"/>
      <c r="H94" s="9"/>
    </row>
    <row r="95" spans="1:8" ht="18">
      <c r="A95" s="9"/>
      <c r="B95" s="27" t="s">
        <v>98</v>
      </c>
      <c r="C95" s="27" t="str">
        <f>_xlfn.CONCAT(Setor!B15)</f>
        <v>COORDENADOR</v>
      </c>
      <c r="D95" s="9"/>
      <c r="E95" s="9"/>
      <c r="F95" s="9"/>
      <c r="G95" s="9"/>
      <c r="H95" s="9"/>
    </row>
    <row r="96" spans="1:8" ht="18">
      <c r="B96" s="27" t="s">
        <v>99</v>
      </c>
      <c r="C96" s="27" t="str">
        <f>_xlfn.CONCAT(Setor!B9)</f>
        <v>COMERCIAL</v>
      </c>
    </row>
    <row r="97" spans="2:3" ht="18">
      <c r="B97" s="27" t="s">
        <v>100</v>
      </c>
      <c r="C97" s="27" t="str">
        <f>_xlfn.CONCAT(Setor!B13)</f>
        <v>GESTÃO DE FORNECEDORES</v>
      </c>
    </row>
    <row r="98" spans="2:3" ht="18">
      <c r="B98" s="27" t="s">
        <v>101</v>
      </c>
      <c r="C98" s="27" t="str">
        <f>_xlfn.CONCAT(Setor!B5)</f>
        <v>RELACIONAMENTO COM O CLIENTE</v>
      </c>
    </row>
    <row r="99" spans="2:3" ht="18">
      <c r="B99" s="27" t="s">
        <v>102</v>
      </c>
      <c r="C99" s="27" t="str">
        <f>_xlfn.CONCAT(Setor!B9)</f>
        <v>COMERCIAL</v>
      </c>
    </row>
    <row r="100" spans="2:3" ht="18">
      <c r="B100" s="27" t="s">
        <v>103</v>
      </c>
      <c r="C100" s="27" t="str">
        <f>_xlfn.CONCAT(Setor!B5)</f>
        <v>RELACIONAMENTO COM O CLIENTE</v>
      </c>
    </row>
    <row r="101" spans="2:3" ht="18">
      <c r="B101" s="27" t="s">
        <v>104</v>
      </c>
      <c r="C101" s="27" t="str">
        <f>_xlfn.CONCAT(Setor!B5)</f>
        <v>RELACIONAMENTO COM O CLIENTE</v>
      </c>
    </row>
    <row r="102" spans="2:3" ht="18">
      <c r="B102" s="27" t="s">
        <v>105</v>
      </c>
      <c r="C102" s="27" t="str">
        <f>_xlfn.CONCAT(Setor!B5)</f>
        <v>RELACIONAMENTO COM O CLIENTE</v>
      </c>
    </row>
    <row r="103" spans="2:3" ht="18">
      <c r="B103" s="27" t="s">
        <v>106</v>
      </c>
      <c r="C103" s="27" t="str">
        <f>_xlfn.CONCAT(Setor!B5)</f>
        <v>RELACIONAMENTO COM O CLIENTE</v>
      </c>
    </row>
    <row r="104" spans="2:3" ht="18">
      <c r="B104" s="27" t="s">
        <v>107</v>
      </c>
      <c r="C104" s="27" t="str">
        <f>_xlfn.CONCAT(Setor!B5)</f>
        <v>RELACIONAMENTO COM O CLIENTE</v>
      </c>
    </row>
    <row r="105" spans="2:3" ht="18">
      <c r="B105" s="27" t="s">
        <v>108</v>
      </c>
      <c r="C105" s="27" t="str">
        <f>_xlfn.CONCAT(Setor!B6)</f>
        <v>INFRA</v>
      </c>
    </row>
    <row r="106" spans="2:3" ht="18">
      <c r="B106" s="27" t="s">
        <v>109</v>
      </c>
      <c r="C106" s="27" t="str">
        <f>_xlfn.CONCAT(Setor!B5)</f>
        <v>RELACIONAMENTO COM O CLIENTE</v>
      </c>
    </row>
    <row r="107" spans="2:3" ht="18">
      <c r="B107" s="27" t="s">
        <v>110</v>
      </c>
      <c r="C107" s="27" t="str">
        <f>_xlfn.CONCAT(Setor!B9)</f>
        <v>COMERCIAL</v>
      </c>
    </row>
    <row r="108" spans="2:3" ht="18">
      <c r="B108" s="27" t="s">
        <v>111</v>
      </c>
      <c r="C108" s="27" t="str">
        <f>_xlfn.CONCAT(Setor!B5)</f>
        <v>RELACIONAMENTO COM O CLIENTE</v>
      </c>
    </row>
    <row r="109" spans="2:3" ht="18">
      <c r="B109" s="27" t="s">
        <v>112</v>
      </c>
      <c r="C109" s="27" t="str">
        <f>_xlfn.CONCAT(Setor!B6)</f>
        <v>INFRA</v>
      </c>
    </row>
    <row r="110" spans="2:3" ht="18">
      <c r="B110" s="27" t="s">
        <v>113</v>
      </c>
      <c r="C110" s="27" t="str">
        <f>_xlfn.CONCAT(Setor!B5)</f>
        <v>RELACIONAMENTO COM O CLIENTE</v>
      </c>
    </row>
    <row r="111" spans="2:3" ht="18">
      <c r="B111" s="27" t="s">
        <v>114</v>
      </c>
      <c r="C111" s="27" t="str">
        <f>_xlfn.CONCAT(Setor!B6)</f>
        <v>INFRA</v>
      </c>
    </row>
    <row r="112" spans="2:3" ht="18">
      <c r="B112" s="27" t="s">
        <v>115</v>
      </c>
      <c r="C112" s="27" t="str">
        <f>_xlfn.CONCAT(Setor!B6)</f>
        <v>INFRA</v>
      </c>
    </row>
    <row r="113" spans="2:3" ht="18">
      <c r="B113" s="27" t="s">
        <v>116</v>
      </c>
      <c r="C113" s="27" t="str">
        <f>_xlfn.CONCAT(Setor!B6)</f>
        <v>INFRA</v>
      </c>
    </row>
    <row r="114" spans="2:3" ht="18">
      <c r="B114" s="27" t="s">
        <v>117</v>
      </c>
      <c r="C114" s="27" t="str">
        <f>_xlfn.CONCAT(Setor!B5)</f>
        <v>RELACIONAMENTO COM O CLIENTE</v>
      </c>
    </row>
    <row r="115" spans="2:3" ht="18">
      <c r="B115" s="27" t="s">
        <v>118</v>
      </c>
      <c r="C115" s="27" t="str">
        <f>_xlfn.CONCAT(Setor!B6)</f>
        <v>INFRA</v>
      </c>
    </row>
    <row r="116" spans="2:3" ht="18">
      <c r="B116" s="27" t="s">
        <v>119</v>
      </c>
      <c r="C116" s="27" t="str">
        <f>_xlfn.CONCAT(Setor!B5)</f>
        <v>RELACIONAMENTO COM O CLIENTE</v>
      </c>
    </row>
    <row r="117" spans="2:3" ht="18">
      <c r="B117" s="27" t="s">
        <v>120</v>
      </c>
      <c r="C117" s="27" t="str">
        <f>_xlfn.CONCAT(Setor!B5)</f>
        <v>RELACIONAMENTO COM O CLIENTE</v>
      </c>
    </row>
    <row r="118" spans="2:3" ht="18">
      <c r="B118" s="27" t="s">
        <v>121</v>
      </c>
      <c r="C118" s="27" t="str">
        <f>_xlfn.CONCAT(Setor!B5)</f>
        <v>RELACIONAMENTO COM O CLIENTE</v>
      </c>
    </row>
    <row r="119" spans="2:3" ht="18">
      <c r="B119" s="87" t="s">
        <v>122</v>
      </c>
      <c r="C119" s="27" t="str">
        <f>_xlfn.CONCAT(Setor!B6)</f>
        <v>INFRA</v>
      </c>
    </row>
    <row r="120" spans="2:3" ht="18">
      <c r="B120" s="27" t="s">
        <v>123</v>
      </c>
      <c r="C120" s="27" t="str">
        <f>_xlfn.CONCAT(Setor!B5)</f>
        <v>RELACIONAMENTO COM O CLIENTE</v>
      </c>
    </row>
    <row r="121" spans="2:3" ht="18">
      <c r="B121" s="27" t="s">
        <v>124</v>
      </c>
      <c r="C121" s="27" t="str">
        <f>_xlfn.CONCAT(Setor!B9)</f>
        <v>COMERCIAL</v>
      </c>
    </row>
    <row r="122" spans="2:3" ht="18">
      <c r="B122" s="27" t="s">
        <v>125</v>
      </c>
      <c r="C122" s="27" t="str">
        <f>_xlfn.CONCAT(Setor!B9)</f>
        <v>COMERCIAL</v>
      </c>
    </row>
    <row r="123" spans="2:3" ht="18">
      <c r="B123" s="27" t="s">
        <v>126</v>
      </c>
      <c r="C123" s="27" t="str">
        <f>_xlfn.CONCAT(Setor!B5)</f>
        <v>RELACIONAMENTO COM O CLIENTE</v>
      </c>
    </row>
    <row r="124" spans="2:3" ht="18">
      <c r="B124" s="27" t="s">
        <v>127</v>
      </c>
      <c r="C124" s="27"/>
    </row>
    <row r="125" spans="2:3" ht="18">
      <c r="B125" s="27" t="s">
        <v>128</v>
      </c>
      <c r="C125" s="27" t="str">
        <f>_xlfn.CONCAT(Setor!B6)</f>
        <v>INFRA</v>
      </c>
    </row>
    <row r="126" spans="2:3" ht="18">
      <c r="B126" s="27" t="s">
        <v>129</v>
      </c>
      <c r="C126" s="27" t="str">
        <f>_xlfn.CONCAT(Setor!B12)</f>
        <v>EXPERIENCIA DAS PESSOAS</v>
      </c>
    </row>
    <row r="127" spans="2:3" ht="18">
      <c r="B127" s="27" t="s">
        <v>130</v>
      </c>
      <c r="C127" s="27" t="str">
        <f>_xlfn.CONCAT(Setor!B5)</f>
        <v>RELACIONAMENTO COM O CLIENTE</v>
      </c>
    </row>
    <row r="128" spans="2:3" ht="18">
      <c r="B128" s="27" t="s">
        <v>131</v>
      </c>
      <c r="C128" s="27" t="str">
        <f>_xlfn.CONCAT(Setor!B8)</f>
        <v>FINANCEIRO</v>
      </c>
    </row>
    <row r="129" spans="2:4" ht="18">
      <c r="B129" s="27" t="s">
        <v>132</v>
      </c>
      <c r="C129" s="27" t="str">
        <f>_xlfn.CONCAT(Setor!B9)</f>
        <v>COMERCIAL</v>
      </c>
    </row>
    <row r="130" spans="2:4" ht="18">
      <c r="B130" s="27" t="s">
        <v>133</v>
      </c>
      <c r="C130" s="27" t="str">
        <f>_xlfn.CONCAT(Setor!B6)</f>
        <v>INFRA</v>
      </c>
    </row>
    <row r="131" spans="2:4" ht="18">
      <c r="B131" s="27" t="s">
        <v>134</v>
      </c>
      <c r="C131" s="27" t="str">
        <f>_xlfn.CONCAT(Setor!B6)</f>
        <v>INFRA</v>
      </c>
    </row>
    <row r="132" spans="2:4" ht="18">
      <c r="B132" s="27" t="s">
        <v>135</v>
      </c>
      <c r="C132" s="27" t="str">
        <f>_xlfn.CONCAT(Setor!B6)</f>
        <v>INFRA</v>
      </c>
    </row>
    <row r="133" spans="2:4" ht="18">
      <c r="B133" s="27" t="s">
        <v>136</v>
      </c>
      <c r="C133" s="27" t="str">
        <f>_xlfn.CONCAT(Setor!B6)</f>
        <v>INFRA</v>
      </c>
    </row>
    <row r="134" spans="2:4" ht="18">
      <c r="B134" s="27" t="s">
        <v>137</v>
      </c>
      <c r="C134" s="27" t="str">
        <f>_xlfn.CONCAT(Setor!B8)</f>
        <v>FINANCEIRO</v>
      </c>
    </row>
    <row r="135" spans="2:4" ht="18">
      <c r="B135" s="27" t="s">
        <v>138</v>
      </c>
      <c r="C135" s="27" t="str">
        <f>_xlfn.CONCAT(Setor!B5)</f>
        <v>RELACIONAMENTO COM O CLIENTE</v>
      </c>
    </row>
    <row r="136" spans="2:4" ht="18">
      <c r="B136" s="27" t="s">
        <v>139</v>
      </c>
      <c r="C136" s="27" t="str">
        <f>_xlfn.CONCAT(Setor!B5)</f>
        <v>RELACIONAMENTO COM O CLIENTE</v>
      </c>
      <c r="D136" s="27" t="str">
        <f>_xlfn.CONCAT(Setor!C5)</f>
        <v/>
      </c>
    </row>
    <row r="137" spans="2:4" ht="18">
      <c r="B137" s="27" t="s">
        <v>140</v>
      </c>
      <c r="C137" s="27" t="str">
        <f>_xlfn.CONCAT(Setor!B9)</f>
        <v>COMERCIAL</v>
      </c>
    </row>
    <row r="138" spans="2:4" ht="18">
      <c r="B138" s="27" t="s">
        <v>141</v>
      </c>
      <c r="C138" s="27" t="str">
        <f>_xlfn.CONCAT(Setor!B5)</f>
        <v>RELACIONAMENTO COM O CLIENTE</v>
      </c>
    </row>
    <row r="139" spans="2:4" ht="18">
      <c r="B139" s="27" t="s">
        <v>142</v>
      </c>
      <c r="C139" s="27" t="str">
        <f>_xlfn.CONCAT(Setor!B9)</f>
        <v>COMERCIAL</v>
      </c>
    </row>
    <row r="140" spans="2:4" ht="18">
      <c r="B140" s="27" t="s">
        <v>143</v>
      </c>
      <c r="C140" s="27" t="str">
        <f>_xlfn.CONCAT(Setor!B6)</f>
        <v>INFRA</v>
      </c>
    </row>
    <row r="141" spans="2:4" ht="18">
      <c r="B141" s="27" t="s">
        <v>144</v>
      </c>
      <c r="C141" s="27" t="str">
        <f>_xlfn.CONCAT(Setor!B5)</f>
        <v>RELACIONAMENTO COM O CLIENTE</v>
      </c>
    </row>
    <row r="142" spans="2:4" ht="18">
      <c r="B142" s="27" t="s">
        <v>145</v>
      </c>
      <c r="C142" s="27" t="str">
        <f>_xlfn.CONCAT(Setor!B14)</f>
        <v>MARKETING</v>
      </c>
    </row>
    <row r="143" spans="2:4" ht="18">
      <c r="B143" s="27" t="s">
        <v>146</v>
      </c>
      <c r="C143" s="27" t="str">
        <f>_xlfn.CONCAT(Setor!B5)</f>
        <v>RELACIONAMENTO COM O CLIENTE</v>
      </c>
    </row>
    <row r="144" spans="2:4" ht="18">
      <c r="B144" s="27" t="s">
        <v>147</v>
      </c>
      <c r="C144" s="27" t="str">
        <f>_xlfn.CONCAT(Setor!B5)</f>
        <v>RELACIONAMENTO COM O CLIENTE</v>
      </c>
    </row>
    <row r="145" spans="2:3" ht="18">
      <c r="B145" s="27" t="s">
        <v>143</v>
      </c>
      <c r="C145" s="27" t="str">
        <f>_xlfn.CONCAT(Setor!B6)</f>
        <v>INFRA</v>
      </c>
    </row>
    <row r="146" spans="2:3" ht="18">
      <c r="B146" s="27" t="s">
        <v>148</v>
      </c>
      <c r="C146" s="27" t="str">
        <f>_xlfn.CONCAT(Setor!B11)</f>
        <v>INTELIGENCIA DE DADOS</v>
      </c>
    </row>
    <row r="147" spans="2:3" ht="18">
      <c r="B147" s="27" t="s">
        <v>149</v>
      </c>
      <c r="C147" s="27" t="str">
        <f>_xlfn.CONCAT(Setor!B10)</f>
        <v>AGILIDADE</v>
      </c>
    </row>
    <row r="148" spans="2:3" ht="18">
      <c r="B148" s="27" t="s">
        <v>150</v>
      </c>
      <c r="C148" s="27" t="str">
        <f>_xlfn.CONCAT(Setor!B5)</f>
        <v>RELACIONAMENTO COM O CLIENTE</v>
      </c>
    </row>
    <row r="149" spans="2:3" ht="18">
      <c r="B149" s="27" t="s">
        <v>151</v>
      </c>
      <c r="C149" s="27" t="str">
        <f>_xlfn.CONCAT(Setor!B9)</f>
        <v>COMERCIAL</v>
      </c>
    </row>
    <row r="150" spans="2:3" ht="18">
      <c r="B150" s="27" t="s">
        <v>152</v>
      </c>
      <c r="C150" s="27" t="str">
        <f>_xlfn.CONCAT(Setor!B5)</f>
        <v>RELACIONAMENTO COM O CLIENTE</v>
      </c>
    </row>
    <row r="151" spans="2:3" ht="18">
      <c r="B151" s="27" t="s">
        <v>153</v>
      </c>
      <c r="C151" s="27" t="str">
        <f>_xlfn.CONCAT(Setor!B5)</f>
        <v>RELACIONAMENTO COM O CLIENTE</v>
      </c>
    </row>
    <row r="152" spans="2:3" ht="18">
      <c r="B152" s="27" t="s">
        <v>154</v>
      </c>
      <c r="C152" s="27" t="str">
        <f>_xlfn.CONCAT(Setor!B5)</f>
        <v>RELACIONAMENTO COM O CLIENTE</v>
      </c>
    </row>
    <row r="153" spans="2:3" ht="18">
      <c r="B153" s="27" t="s">
        <v>155</v>
      </c>
      <c r="C153" s="27" t="str">
        <f>_xlfn.CONCAT(Setor!B6)</f>
        <v>INFRA</v>
      </c>
    </row>
    <row r="154" spans="2:3" ht="18">
      <c r="B154" s="27" t="s">
        <v>156</v>
      </c>
      <c r="C154" s="27" t="str">
        <f>_xlfn.CONCAT(Setor!B5)</f>
        <v>RELACIONAMENTO COM O CLIENTE</v>
      </c>
    </row>
    <row r="155" spans="2:3" ht="18">
      <c r="B155" s="27"/>
      <c r="C155" s="27"/>
    </row>
    <row r="156" spans="2:3" ht="18">
      <c r="B156" s="27"/>
      <c r="C156" s="27"/>
    </row>
    <row r="157" spans="2:3" ht="18">
      <c r="B157" s="27"/>
      <c r="C157" s="27"/>
    </row>
    <row r="158" spans="2:3" ht="18">
      <c r="B158" s="27"/>
      <c r="C158" s="2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E2F6E-869C-412D-9861-9D4F10134551}">
  <dimension ref="A1:D13"/>
  <sheetViews>
    <sheetView workbookViewId="0">
      <selection activeCell="D8" sqref="D8"/>
    </sheetView>
  </sheetViews>
  <sheetFormatPr defaultRowHeight="15"/>
  <cols>
    <col min="1" max="1" width="28" bestFit="1" customWidth="1"/>
    <col min="2" max="2" width="28.7109375" bestFit="1" customWidth="1"/>
    <col min="3" max="3" width="9.42578125" bestFit="1" customWidth="1"/>
    <col min="4" max="4" width="79.28515625" bestFit="1" customWidth="1"/>
  </cols>
  <sheetData>
    <row r="1" spans="1:4" ht="18.75">
      <c r="A1" s="79" t="s">
        <v>1</v>
      </c>
      <c r="B1" s="79" t="s">
        <v>157</v>
      </c>
      <c r="C1" s="79" t="s">
        <v>158</v>
      </c>
      <c r="D1" s="79" t="s">
        <v>159</v>
      </c>
    </row>
    <row r="2" spans="1:4">
      <c r="A2" s="80" t="s">
        <v>160</v>
      </c>
      <c r="B2" s="80" t="s">
        <v>161</v>
      </c>
      <c r="C2" s="80" t="s">
        <v>162</v>
      </c>
      <c r="D2" s="80" t="s">
        <v>163</v>
      </c>
    </row>
    <row r="3" spans="1:4" ht="57.75">
      <c r="A3" s="80" t="s">
        <v>164</v>
      </c>
      <c r="B3" s="82" t="s">
        <v>165</v>
      </c>
      <c r="C3" s="82" t="s">
        <v>166</v>
      </c>
      <c r="D3" s="83" t="s">
        <v>167</v>
      </c>
    </row>
    <row r="4" spans="1:4" ht="57.75">
      <c r="A4" s="80" t="s">
        <v>164</v>
      </c>
      <c r="B4" s="80" t="s">
        <v>168</v>
      </c>
      <c r="C4" s="82" t="s">
        <v>166</v>
      </c>
      <c r="D4" s="83" t="s">
        <v>167</v>
      </c>
    </row>
    <row r="5" spans="1:4" ht="57.75">
      <c r="A5" s="81" t="s">
        <v>169</v>
      </c>
      <c r="B5" s="81" t="s">
        <v>170</v>
      </c>
      <c r="C5" s="84" t="s">
        <v>171</v>
      </c>
      <c r="D5" s="84" t="s">
        <v>172</v>
      </c>
    </row>
    <row r="6" spans="1:4">
      <c r="A6" s="80" t="s">
        <v>173</v>
      </c>
      <c r="B6" s="80" t="s">
        <v>174</v>
      </c>
      <c r="C6" s="80" t="s">
        <v>175</v>
      </c>
      <c r="D6" s="85" t="s">
        <v>176</v>
      </c>
    </row>
    <row r="7" spans="1:4">
      <c r="A7" s="80" t="s">
        <v>173</v>
      </c>
      <c r="B7" s="80" t="s">
        <v>177</v>
      </c>
      <c r="C7" s="80" t="s">
        <v>175</v>
      </c>
      <c r="D7" s="85" t="s">
        <v>176</v>
      </c>
    </row>
    <row r="8" spans="1:4" ht="54.75" customHeight="1">
      <c r="A8" s="81" t="s">
        <v>178</v>
      </c>
      <c r="B8" s="81" t="s">
        <v>179</v>
      </c>
      <c r="C8" s="84" t="s">
        <v>180</v>
      </c>
      <c r="D8" s="81" t="s">
        <v>181</v>
      </c>
    </row>
    <row r="9" spans="1:4" ht="63" customHeight="1">
      <c r="A9" s="81" t="s">
        <v>178</v>
      </c>
      <c r="B9" s="81" t="s">
        <v>182</v>
      </c>
      <c r="C9" s="84" t="s">
        <v>180</v>
      </c>
      <c r="D9" s="85" t="s">
        <v>183</v>
      </c>
    </row>
    <row r="10" spans="1:4" ht="45.75" customHeight="1">
      <c r="A10" s="81" t="s">
        <v>178</v>
      </c>
      <c r="B10" s="81" t="s">
        <v>184</v>
      </c>
      <c r="C10" s="84" t="s">
        <v>180</v>
      </c>
      <c r="D10" s="85" t="s">
        <v>183</v>
      </c>
    </row>
    <row r="11" spans="1:4" ht="46.5" customHeight="1">
      <c r="A11" s="81" t="s">
        <v>178</v>
      </c>
      <c r="B11" s="81" t="s">
        <v>185</v>
      </c>
      <c r="C11" s="84" t="s">
        <v>180</v>
      </c>
      <c r="D11" s="85" t="s">
        <v>183</v>
      </c>
    </row>
    <row r="12" spans="1:4" ht="44.25" customHeight="1">
      <c r="A12" s="80" t="s">
        <v>186</v>
      </c>
      <c r="B12" s="80" t="s">
        <v>187</v>
      </c>
      <c r="C12" s="82" t="s">
        <v>171</v>
      </c>
      <c r="D12" s="84" t="s">
        <v>188</v>
      </c>
    </row>
    <row r="13" spans="1:4">
      <c r="A13" s="80" t="s">
        <v>189</v>
      </c>
      <c r="B13" s="80" t="s">
        <v>190</v>
      </c>
      <c r="C13" s="80" t="s">
        <v>191</v>
      </c>
      <c r="D13" s="80" t="s">
        <v>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8182F-A44B-4E08-976F-80922EE62E25}">
  <dimension ref="A1:V29"/>
  <sheetViews>
    <sheetView topLeftCell="A3" workbookViewId="0">
      <selection activeCell="B6" sqref="B6"/>
    </sheetView>
  </sheetViews>
  <sheetFormatPr defaultRowHeight="15"/>
  <cols>
    <col min="1" max="1" width="59.7109375" customWidth="1"/>
    <col min="2" max="2" width="60.85546875" customWidth="1"/>
  </cols>
  <sheetData>
    <row r="1" spans="1:22" ht="18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s="70" customFormat="1" ht="29.25" customHeight="1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</row>
    <row r="3" spans="1:22" s="3" customFormat="1" ht="7.5" customHeight="1">
      <c r="A3" s="16"/>
      <c r="B3" s="17"/>
      <c r="C3" s="16"/>
      <c r="D3" s="16"/>
      <c r="E3" s="16"/>
      <c r="F3" s="16"/>
      <c r="G3" s="16"/>
      <c r="H3" s="16"/>
      <c r="I3" s="16"/>
      <c r="J3" s="16"/>
      <c r="K3" s="16"/>
    </row>
    <row r="4" spans="1:22" ht="21" customHeight="1">
      <c r="A4" s="18"/>
      <c r="B4" s="10" t="s">
        <v>193</v>
      </c>
      <c r="C4" s="18"/>
      <c r="D4" s="18"/>
      <c r="E4" s="18"/>
      <c r="F4" s="18"/>
      <c r="G4" s="18"/>
      <c r="H4" s="18"/>
      <c r="I4" s="18"/>
      <c r="J4" s="18"/>
      <c r="K4" s="18"/>
    </row>
    <row r="5" spans="1:22" ht="22.5">
      <c r="A5" s="18"/>
      <c r="B5" s="10" t="s">
        <v>52</v>
      </c>
      <c r="C5" s="18"/>
      <c r="D5" s="18"/>
      <c r="E5" s="18"/>
      <c r="F5" s="18"/>
      <c r="G5" s="18"/>
      <c r="H5" s="18"/>
      <c r="I5" s="18"/>
      <c r="J5" s="18"/>
      <c r="K5" s="18"/>
    </row>
    <row r="6" spans="1:22" ht="22.5">
      <c r="A6" s="18"/>
      <c r="B6" s="10" t="s">
        <v>189</v>
      </c>
      <c r="C6" s="18"/>
      <c r="D6" s="18"/>
      <c r="E6" s="18"/>
      <c r="F6" s="18"/>
      <c r="G6" s="18"/>
      <c r="H6" s="18"/>
      <c r="I6" s="18"/>
      <c r="J6" s="18"/>
      <c r="K6" s="18"/>
    </row>
    <row r="7" spans="1:22" ht="22.5">
      <c r="A7" s="18"/>
      <c r="B7" s="10" t="s">
        <v>194</v>
      </c>
      <c r="C7" s="18"/>
      <c r="D7" s="18"/>
      <c r="E7" s="18"/>
      <c r="F7" s="18"/>
      <c r="G7" s="18"/>
      <c r="H7" s="18"/>
      <c r="I7" s="18"/>
      <c r="J7" s="18"/>
      <c r="K7" s="18"/>
    </row>
    <row r="8" spans="1:22" ht="22.5">
      <c r="A8" s="18"/>
      <c r="B8" s="10" t="s">
        <v>20</v>
      </c>
      <c r="C8" s="18"/>
      <c r="D8" s="18"/>
      <c r="E8" s="18"/>
      <c r="F8" s="18"/>
      <c r="G8" s="18"/>
      <c r="H8" s="18"/>
      <c r="I8" s="18"/>
      <c r="J8" s="18"/>
      <c r="K8" s="18"/>
    </row>
    <row r="9" spans="1:22" ht="22.5">
      <c r="A9" s="18"/>
      <c r="B9" s="10" t="s">
        <v>26</v>
      </c>
      <c r="C9" s="18"/>
      <c r="D9" s="18"/>
      <c r="E9" s="18"/>
      <c r="F9" s="18"/>
      <c r="G9" s="18"/>
      <c r="H9" s="18"/>
      <c r="I9" s="18"/>
      <c r="J9" s="18"/>
      <c r="K9" s="18"/>
    </row>
    <row r="10" spans="1:22" ht="22.5">
      <c r="A10" s="18"/>
      <c r="B10" s="10" t="s">
        <v>195</v>
      </c>
      <c r="C10" s="18"/>
      <c r="D10" s="18"/>
      <c r="E10" s="18"/>
      <c r="F10" s="18"/>
      <c r="G10" s="18"/>
      <c r="H10" s="18"/>
      <c r="I10" s="18"/>
      <c r="J10" s="18"/>
      <c r="K10" s="18"/>
    </row>
    <row r="11" spans="1:22" ht="22.5">
      <c r="A11" s="18"/>
      <c r="B11" s="10" t="s">
        <v>196</v>
      </c>
      <c r="C11" s="18"/>
      <c r="D11" s="18"/>
      <c r="E11" s="18"/>
      <c r="F11" s="18"/>
      <c r="G11" s="18"/>
      <c r="H11" s="18"/>
      <c r="I11" s="18"/>
      <c r="J11" s="18"/>
      <c r="K11" s="18"/>
    </row>
    <row r="12" spans="1:22" ht="22.5">
      <c r="A12" s="18"/>
      <c r="B12" s="10" t="s">
        <v>197</v>
      </c>
      <c r="C12" s="18"/>
      <c r="D12" s="18"/>
      <c r="E12" s="18"/>
      <c r="F12" s="18"/>
      <c r="G12" s="18"/>
      <c r="H12" s="18"/>
      <c r="I12" s="18"/>
      <c r="J12" s="18"/>
      <c r="K12" s="18"/>
    </row>
    <row r="13" spans="1:22" ht="22.5">
      <c r="A13" s="18"/>
      <c r="B13" s="10" t="s">
        <v>198</v>
      </c>
      <c r="C13" s="18"/>
      <c r="D13" s="18"/>
      <c r="E13" s="18"/>
      <c r="F13" s="18"/>
      <c r="G13" s="18"/>
      <c r="H13" s="18"/>
      <c r="I13" s="18"/>
      <c r="J13" s="18"/>
      <c r="K13" s="18"/>
    </row>
    <row r="14" spans="1:22" ht="22.5">
      <c r="A14" s="18"/>
      <c r="B14" s="10" t="s">
        <v>9</v>
      </c>
      <c r="C14" s="18"/>
      <c r="D14" s="18"/>
      <c r="E14" s="18"/>
      <c r="F14" s="18"/>
      <c r="G14" s="18"/>
      <c r="H14" s="18"/>
      <c r="I14" s="18"/>
      <c r="J14" s="18"/>
      <c r="K14" s="18"/>
    </row>
    <row r="15" spans="1:22" ht="22.5">
      <c r="A15" s="18"/>
      <c r="B15" s="10" t="s">
        <v>199</v>
      </c>
      <c r="C15" s="18"/>
      <c r="D15" s="18"/>
      <c r="E15" s="18"/>
      <c r="F15" s="18"/>
      <c r="G15" s="18"/>
      <c r="H15" s="18"/>
      <c r="I15" s="18"/>
      <c r="J15" s="18"/>
      <c r="K15" s="18"/>
    </row>
    <row r="16" spans="1:22" ht="22.5">
      <c r="A16" s="18"/>
      <c r="B16" s="10" t="s">
        <v>200</v>
      </c>
      <c r="C16" s="18"/>
      <c r="D16" s="18"/>
      <c r="E16" s="18"/>
      <c r="F16" s="18"/>
      <c r="G16" s="18"/>
      <c r="H16" s="18"/>
      <c r="I16" s="18"/>
      <c r="J16" s="18"/>
      <c r="K16" s="18"/>
    </row>
    <row r="17" spans="1:11" ht="22.5">
      <c r="A17" s="18"/>
      <c r="B17" s="10" t="s">
        <v>201</v>
      </c>
      <c r="C17" s="18"/>
      <c r="D17" s="18"/>
      <c r="E17" s="18"/>
      <c r="F17" s="18"/>
      <c r="G17" s="18"/>
      <c r="H17" s="18"/>
      <c r="I17" s="18"/>
      <c r="J17" s="18"/>
      <c r="K17" s="18"/>
    </row>
    <row r="18" spans="1:11" ht="22.5">
      <c r="A18" s="19"/>
      <c r="B18" s="10" t="s">
        <v>202</v>
      </c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22.5">
      <c r="A19" s="19"/>
      <c r="B19" s="10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22.5">
      <c r="A20" s="19"/>
      <c r="B20" s="10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8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8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8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8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</row>
    <row r="25" spans="1:11" ht="18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</row>
    <row r="26" spans="1:11" ht="18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</row>
    <row r="27" spans="1:11" ht="18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</row>
    <row r="28" spans="1:11" ht="18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</row>
    <row r="29" spans="1:11" ht="18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ACF6B-4F07-4E85-AA5C-371DA62CD058}">
  <dimension ref="A1:K270"/>
  <sheetViews>
    <sheetView tabSelected="1" zoomScaleNormal="100" workbookViewId="0">
      <selection activeCell="G268" sqref="G268"/>
    </sheetView>
  </sheetViews>
  <sheetFormatPr defaultRowHeight="15"/>
  <cols>
    <col min="1" max="1" width="19.42578125" customWidth="1"/>
    <col min="2" max="2" width="15.5703125" customWidth="1"/>
    <col min="3" max="3" width="30" customWidth="1"/>
    <col min="4" max="4" width="28.42578125" customWidth="1"/>
    <col min="5" max="5" width="57.85546875" customWidth="1"/>
    <col min="6" max="6" width="49" customWidth="1"/>
    <col min="7" max="7" width="18.7109375" customWidth="1"/>
    <col min="8" max="8" width="102.28515625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32"/>
      <c r="J1" s="32"/>
      <c r="K1" s="32"/>
    </row>
    <row r="2" spans="1:11" ht="37.5" customHeight="1">
      <c r="A2" s="14"/>
      <c r="B2" s="14"/>
      <c r="C2" s="14"/>
      <c r="D2" s="14"/>
      <c r="E2" s="14"/>
      <c r="F2" s="14"/>
      <c r="G2" s="14"/>
      <c r="H2" s="14"/>
      <c r="I2" s="32"/>
      <c r="J2" s="32"/>
      <c r="K2" s="32"/>
    </row>
    <row r="3" spans="1:11" ht="7.5" customHeight="1">
      <c r="A3" s="6"/>
      <c r="B3" s="6"/>
      <c r="C3" s="6"/>
      <c r="D3" s="6"/>
      <c r="E3" s="6"/>
      <c r="F3" s="6"/>
      <c r="G3" s="6"/>
      <c r="H3" s="6"/>
      <c r="I3" s="32"/>
      <c r="J3" s="32"/>
      <c r="K3" s="32"/>
    </row>
    <row r="4" spans="1:11" ht="19.5">
      <c r="A4" s="8" t="s">
        <v>203</v>
      </c>
      <c r="B4" s="8" t="s">
        <v>204</v>
      </c>
      <c r="C4" s="8" t="s">
        <v>205</v>
      </c>
      <c r="D4" s="8" t="s">
        <v>206</v>
      </c>
      <c r="E4" s="8" t="s">
        <v>207</v>
      </c>
      <c r="F4" s="8" t="s">
        <v>1</v>
      </c>
      <c r="G4" s="8" t="s">
        <v>208</v>
      </c>
      <c r="H4" s="8" t="s">
        <v>209</v>
      </c>
      <c r="I4" s="32"/>
      <c r="J4" s="32"/>
      <c r="K4" s="32"/>
    </row>
    <row r="5" spans="1:11" ht="19.5">
      <c r="A5" s="21" t="s">
        <v>210</v>
      </c>
      <c r="B5" s="21" t="s">
        <v>211</v>
      </c>
      <c r="C5" s="24" t="s">
        <v>212</v>
      </c>
      <c r="D5" s="21"/>
      <c r="E5" s="21" t="str">
        <f>_xlfn.CONCAT(Funcionários!B49)</f>
        <v>EDUARDA VIEIRA</v>
      </c>
      <c r="F5" s="21" t="str">
        <f>_xlfn.CONCAT(Funcionários!C49)</f>
        <v>RELACIONAMENTO COM O CLIENTE</v>
      </c>
      <c r="G5" s="33">
        <v>6164</v>
      </c>
      <c r="H5" s="37" t="s">
        <v>213</v>
      </c>
      <c r="I5" s="32"/>
      <c r="J5" s="32"/>
      <c r="K5" s="32"/>
    </row>
    <row r="6" spans="1:11" ht="19.5">
      <c r="A6" s="21" t="s">
        <v>210</v>
      </c>
      <c r="B6" s="21" t="s">
        <v>211</v>
      </c>
      <c r="C6" s="24" t="s">
        <v>212</v>
      </c>
      <c r="D6" s="21" t="s">
        <v>214</v>
      </c>
      <c r="E6" s="21" t="str">
        <f>_xlfn.CONCAT(Funcionários!B126)</f>
        <v>HAKEEN</v>
      </c>
      <c r="F6" s="21" t="str">
        <f>_xlfn.CONCAT(Setor!B12)</f>
        <v>EXPERIENCIA DAS PESSOAS</v>
      </c>
      <c r="G6" s="33">
        <v>6159</v>
      </c>
      <c r="H6" s="37"/>
      <c r="I6" s="32"/>
      <c r="J6" s="32"/>
      <c r="K6" s="32"/>
    </row>
    <row r="7" spans="1:11" ht="19.5">
      <c r="A7" s="21" t="s">
        <v>215</v>
      </c>
      <c r="B7" s="21" t="s">
        <v>211</v>
      </c>
      <c r="C7" s="24" t="s">
        <v>212</v>
      </c>
      <c r="D7" s="21"/>
      <c r="E7" s="21" t="str">
        <f>_xlfn.CONCAT(Funcionários!B44)</f>
        <v>DAVI APPELT DE SÁ SARTORI</v>
      </c>
      <c r="F7" s="21" t="str">
        <f>_xlfn.CONCAT(Setor!B5)</f>
        <v>RELACIONAMENTO COM O CLIENTE</v>
      </c>
      <c r="G7" s="33">
        <v>6166</v>
      </c>
      <c r="H7" s="37"/>
      <c r="I7" s="32"/>
      <c r="J7" s="32"/>
      <c r="K7" s="32"/>
    </row>
    <row r="8" spans="1:11" ht="19.5">
      <c r="A8" s="21" t="s">
        <v>216</v>
      </c>
      <c r="B8" s="21" t="s">
        <v>217</v>
      </c>
      <c r="C8" s="21" t="s">
        <v>218</v>
      </c>
      <c r="D8" s="21" t="s">
        <v>219</v>
      </c>
      <c r="E8" s="21" t="str">
        <f>_xlfn.CONCAT(Funcionários!B150)</f>
        <v>MATHEUS ANDRADE</v>
      </c>
      <c r="F8" s="21" t="str">
        <f>_xlfn.CONCAT(Funcionários!C150)</f>
        <v>RELACIONAMENTO COM O CLIENTE</v>
      </c>
      <c r="G8" s="33">
        <v>28757</v>
      </c>
      <c r="H8" s="37"/>
      <c r="I8" s="32"/>
      <c r="J8" s="32"/>
      <c r="K8" s="32"/>
    </row>
    <row r="9" spans="1:11" ht="19.5">
      <c r="A9" s="21" t="s">
        <v>216</v>
      </c>
      <c r="B9" s="21" t="s">
        <v>217</v>
      </c>
      <c r="C9" s="21" t="s">
        <v>220</v>
      </c>
      <c r="D9" s="21"/>
      <c r="E9" s="21"/>
      <c r="F9" s="21"/>
      <c r="G9" s="33">
        <v>31894</v>
      </c>
      <c r="H9" s="63" t="s">
        <v>221</v>
      </c>
      <c r="I9" s="32"/>
      <c r="J9" s="32"/>
      <c r="K9" s="32"/>
    </row>
    <row r="10" spans="1:11" ht="19.5">
      <c r="A10" s="21" t="s">
        <v>216</v>
      </c>
      <c r="B10" s="21" t="s">
        <v>217</v>
      </c>
      <c r="C10" s="21" t="s">
        <v>222</v>
      </c>
      <c r="D10" s="21" t="s">
        <v>223</v>
      </c>
      <c r="E10" s="102" t="str">
        <f>_xlfn.CONCAT(Funcionários!B90)</f>
        <v>VITOR PEREIRA DOS SANTOS</v>
      </c>
      <c r="F10" s="102" t="str">
        <f>_xlfn.CONCAT(Funcionários!C90)</f>
        <v>RELACIONAMENTO COM O CLIENTE</v>
      </c>
      <c r="G10" s="33">
        <v>40393</v>
      </c>
      <c r="H10" s="63" t="s">
        <v>224</v>
      </c>
      <c r="I10" s="32"/>
      <c r="J10" s="32"/>
      <c r="K10" s="32"/>
    </row>
    <row r="11" spans="1:11" ht="19.5">
      <c r="A11" s="21" t="s">
        <v>216</v>
      </c>
      <c r="B11" s="21" t="s">
        <v>225</v>
      </c>
      <c r="C11" s="21" t="s">
        <v>226</v>
      </c>
      <c r="D11" s="21" t="s">
        <v>227</v>
      </c>
      <c r="E11" s="21" t="str">
        <f>_xlfn.CONCAT(Funcionários!B84)</f>
        <v>RAKELI VIEIRA</v>
      </c>
      <c r="F11" s="21" t="str">
        <f>_xlfn.CONCAT(Funcionários!C84)</f>
        <v>RELACIONAMENTO COM O CLIENTE</v>
      </c>
      <c r="G11" s="33">
        <v>37765</v>
      </c>
      <c r="H11" s="63"/>
      <c r="I11" s="32"/>
      <c r="J11" s="32"/>
      <c r="K11" s="32"/>
    </row>
    <row r="12" spans="1:11" ht="19.5">
      <c r="A12" s="21" t="s">
        <v>216</v>
      </c>
      <c r="B12" s="21" t="s">
        <v>225</v>
      </c>
      <c r="C12" s="21" t="s">
        <v>226</v>
      </c>
      <c r="D12" s="21" t="s">
        <v>228</v>
      </c>
      <c r="E12" s="21" t="s">
        <v>229</v>
      </c>
      <c r="F12" s="21"/>
      <c r="G12" s="33">
        <v>37762</v>
      </c>
      <c r="H12" s="63" t="s">
        <v>230</v>
      </c>
      <c r="I12" s="32"/>
      <c r="J12" s="32"/>
      <c r="K12" s="32"/>
    </row>
    <row r="13" spans="1:11" ht="19.5">
      <c r="A13" s="21" t="s">
        <v>216</v>
      </c>
      <c r="B13" s="21" t="s">
        <v>225</v>
      </c>
      <c r="C13" s="21" t="s">
        <v>226</v>
      </c>
      <c r="D13" s="21"/>
      <c r="E13" s="21"/>
      <c r="F13" s="21"/>
      <c r="G13" s="33">
        <v>33986</v>
      </c>
      <c r="H13" s="63" t="s">
        <v>231</v>
      </c>
      <c r="I13" s="32"/>
      <c r="J13" s="32"/>
      <c r="K13" s="32"/>
    </row>
    <row r="14" spans="1:11" ht="19.5">
      <c r="A14" s="21" t="s">
        <v>232</v>
      </c>
      <c r="B14" s="21" t="s">
        <v>233</v>
      </c>
      <c r="C14" s="21" t="s">
        <v>233</v>
      </c>
      <c r="D14" s="21" t="s">
        <v>233</v>
      </c>
      <c r="E14" s="21" t="str">
        <f>_xlfn.CONCAT(Funcionários!B11)</f>
        <v>ISRAEL FELIX</v>
      </c>
      <c r="F14" s="21" t="str">
        <f>_xlfn.CONCAT(Funcionários!C11)</f>
        <v>MARKETING</v>
      </c>
      <c r="G14" s="33">
        <v>42449</v>
      </c>
      <c r="H14" s="37"/>
      <c r="I14" s="32"/>
      <c r="J14" s="32"/>
      <c r="K14" s="32"/>
    </row>
    <row r="15" spans="1:11" ht="19.5">
      <c r="A15" s="21" t="s">
        <v>234</v>
      </c>
      <c r="B15" s="21" t="s">
        <v>235</v>
      </c>
      <c r="C15" s="21" t="s">
        <v>236</v>
      </c>
      <c r="D15" s="21" t="s">
        <v>236</v>
      </c>
      <c r="E15" s="21" t="str">
        <f>_xlfn.CONCAT(Funcionários!B52)</f>
        <v>FERNANDA SILVA CONRADO</v>
      </c>
      <c r="F15" s="21" t="str">
        <f>_xlfn.CONCAT(Funcionários!C43)</f>
        <v>RELACIONAMENTO COM O CLIENTE</v>
      </c>
      <c r="G15" s="33">
        <v>32879</v>
      </c>
      <c r="H15" s="37"/>
      <c r="I15" s="32"/>
      <c r="J15" s="32"/>
      <c r="K15" s="32"/>
    </row>
    <row r="16" spans="1:11" ht="19.5">
      <c r="A16" s="21" t="s">
        <v>237</v>
      </c>
      <c r="B16" s="21" t="s">
        <v>211</v>
      </c>
      <c r="C16" s="21" t="s">
        <v>238</v>
      </c>
      <c r="D16" s="21" t="s">
        <v>239</v>
      </c>
      <c r="E16" s="21" t="s">
        <v>240</v>
      </c>
      <c r="F16" s="21" t="s">
        <v>241</v>
      </c>
      <c r="G16" s="33">
        <v>28155</v>
      </c>
      <c r="H16" s="104" t="s">
        <v>242</v>
      </c>
      <c r="I16" s="32"/>
      <c r="J16" s="32"/>
      <c r="K16" s="32"/>
    </row>
    <row r="17" spans="1:11" ht="19.5">
      <c r="A17" s="21" t="s">
        <v>237</v>
      </c>
      <c r="B17" s="21" t="s">
        <v>243</v>
      </c>
      <c r="C17" s="21" t="s">
        <v>244</v>
      </c>
      <c r="D17" s="21"/>
      <c r="E17" s="21" t="s">
        <v>245</v>
      </c>
      <c r="F17" s="21" t="s">
        <v>20</v>
      </c>
      <c r="G17" s="99"/>
      <c r="H17" s="65" t="s">
        <v>246</v>
      </c>
      <c r="I17" s="32"/>
      <c r="J17" s="32"/>
      <c r="K17" s="32"/>
    </row>
    <row r="18" spans="1:11" ht="19.5">
      <c r="A18" s="21" t="s">
        <v>237</v>
      </c>
      <c r="B18" s="21" t="s">
        <v>243</v>
      </c>
      <c r="C18" s="21" t="s">
        <v>247</v>
      </c>
      <c r="D18" s="21"/>
      <c r="E18" s="21" t="s">
        <v>248</v>
      </c>
      <c r="F18" s="21"/>
      <c r="G18" s="99"/>
      <c r="H18" s="65" t="s">
        <v>249</v>
      </c>
      <c r="I18" s="32"/>
      <c r="J18" s="32"/>
      <c r="K18" s="32"/>
    </row>
    <row r="19" spans="1:11" ht="19.5">
      <c r="A19" s="21" t="s">
        <v>237</v>
      </c>
      <c r="B19" s="21" t="s">
        <v>243</v>
      </c>
      <c r="C19" s="21" t="s">
        <v>250</v>
      </c>
      <c r="D19" s="21" t="s">
        <v>251</v>
      </c>
      <c r="E19" s="21" t="s">
        <v>252</v>
      </c>
      <c r="F19" s="21" t="s">
        <v>52</v>
      </c>
      <c r="G19" s="99"/>
      <c r="H19" s="37" t="s">
        <v>253</v>
      </c>
      <c r="I19" s="32"/>
      <c r="J19" s="32"/>
      <c r="K19" s="32"/>
    </row>
    <row r="20" spans="1:11" ht="19.5">
      <c r="A20" s="21" t="s">
        <v>237</v>
      </c>
      <c r="B20" s="21" t="s">
        <v>254</v>
      </c>
      <c r="C20" s="21" t="s">
        <v>255</v>
      </c>
      <c r="D20" s="21" t="s">
        <v>256</v>
      </c>
      <c r="E20" s="21" t="s">
        <v>186</v>
      </c>
      <c r="F20" s="21" t="s">
        <v>186</v>
      </c>
      <c r="G20" s="33">
        <v>31851</v>
      </c>
      <c r="H20" s="37" t="s">
        <v>257</v>
      </c>
      <c r="I20" s="32"/>
      <c r="J20" s="32"/>
      <c r="K20" s="32"/>
    </row>
    <row r="21" spans="1:11" ht="19.5">
      <c r="A21" s="21" t="s">
        <v>237</v>
      </c>
      <c r="B21" s="21" t="s">
        <v>258</v>
      </c>
      <c r="C21" s="21" t="s">
        <v>259</v>
      </c>
      <c r="D21" s="21" t="s">
        <v>260</v>
      </c>
      <c r="E21" s="21" t="s">
        <v>261</v>
      </c>
      <c r="F21" s="21" t="s">
        <v>262</v>
      </c>
      <c r="G21" s="33">
        <v>56616</v>
      </c>
      <c r="H21" s="37" t="s">
        <v>263</v>
      </c>
      <c r="I21" s="32"/>
      <c r="J21" s="32"/>
      <c r="K21" s="32"/>
    </row>
    <row r="22" spans="1:11" ht="19.5">
      <c r="A22" s="21" t="s">
        <v>237</v>
      </c>
      <c r="B22" s="21" t="s">
        <v>258</v>
      </c>
      <c r="C22" s="21" t="s">
        <v>264</v>
      </c>
      <c r="D22" s="21" t="s">
        <v>265</v>
      </c>
      <c r="E22" s="21" t="s">
        <v>266</v>
      </c>
      <c r="F22" s="21" t="s">
        <v>267</v>
      </c>
      <c r="G22" s="33">
        <v>57264</v>
      </c>
      <c r="H22" s="37" t="s">
        <v>268</v>
      </c>
      <c r="I22" s="32"/>
      <c r="J22" s="32"/>
      <c r="K22" s="32"/>
    </row>
    <row r="23" spans="1:11" ht="19.5">
      <c r="A23" s="21" t="s">
        <v>237</v>
      </c>
      <c r="B23" s="21" t="s">
        <v>258</v>
      </c>
      <c r="C23" s="34" t="s">
        <v>269</v>
      </c>
      <c r="D23" s="21" t="s">
        <v>270</v>
      </c>
      <c r="E23" s="21" t="s">
        <v>271</v>
      </c>
      <c r="F23" s="21" t="s">
        <v>271</v>
      </c>
      <c r="G23" s="33">
        <v>58859</v>
      </c>
      <c r="H23" s="37" t="s">
        <v>272</v>
      </c>
      <c r="I23" s="32"/>
      <c r="J23" s="32"/>
      <c r="K23" s="32"/>
    </row>
    <row r="24" spans="1:11" ht="19.5">
      <c r="A24" s="21" t="s">
        <v>237</v>
      </c>
      <c r="B24" s="21" t="s">
        <v>258</v>
      </c>
      <c r="C24" s="21" t="s">
        <v>259</v>
      </c>
      <c r="D24" s="21" t="s">
        <v>273</v>
      </c>
      <c r="E24" s="21" t="s">
        <v>274</v>
      </c>
      <c r="F24" s="21" t="s">
        <v>275</v>
      </c>
      <c r="G24" s="33">
        <v>39650</v>
      </c>
      <c r="H24" s="37" t="s">
        <v>276</v>
      </c>
      <c r="I24" s="32"/>
      <c r="J24" s="32"/>
      <c r="K24" s="32"/>
    </row>
    <row r="25" spans="1:11" ht="19.5">
      <c r="A25" s="21" t="s">
        <v>277</v>
      </c>
      <c r="B25" s="21" t="s">
        <v>278</v>
      </c>
      <c r="C25" s="21" t="s">
        <v>279</v>
      </c>
      <c r="D25" s="21" t="s">
        <v>280</v>
      </c>
      <c r="E25" s="35" t="s">
        <v>281</v>
      </c>
      <c r="F25" s="35" t="str">
        <f>_xlfn.CONCAT(Setor!B9)</f>
        <v>COMERCIAL</v>
      </c>
      <c r="G25" s="33">
        <v>40037</v>
      </c>
      <c r="H25" s="37"/>
      <c r="I25" s="32"/>
      <c r="J25" s="32"/>
      <c r="K25" s="32"/>
    </row>
    <row r="26" spans="1:11" ht="19.5">
      <c r="A26" s="21" t="s">
        <v>234</v>
      </c>
      <c r="B26" s="21" t="s">
        <v>235</v>
      </c>
      <c r="C26" s="21" t="s">
        <v>282</v>
      </c>
      <c r="D26" s="21" t="s">
        <v>283</v>
      </c>
      <c r="E26" s="35" t="str">
        <f>_xlfn.CONCAT(Funcionários!B40)</f>
        <v>ANA LUIZA MATTIA DE LIMA</v>
      </c>
      <c r="F26" s="35" t="str">
        <f>_xlfn.CONCAT(Setor!B7)</f>
        <v>INTELIGENCIA DE REDES</v>
      </c>
      <c r="G26" s="33">
        <v>49177</v>
      </c>
      <c r="H26" s="37" t="s">
        <v>284</v>
      </c>
      <c r="I26" s="32"/>
      <c r="J26" s="32"/>
      <c r="K26" s="32"/>
    </row>
    <row r="27" spans="1:11" ht="19.5">
      <c r="A27" s="21" t="s">
        <v>234</v>
      </c>
      <c r="B27" s="21" t="s">
        <v>235</v>
      </c>
      <c r="C27" s="21" t="s">
        <v>282</v>
      </c>
      <c r="D27" s="21" t="s">
        <v>285</v>
      </c>
      <c r="E27" s="35" t="str">
        <f>_xlfn.CONCAT(Funcionários!B41)</f>
        <v>KLEBER COELHO</v>
      </c>
      <c r="F27" s="35" t="str">
        <f>_xlfn.CONCAT(Setor!B7)</f>
        <v>INTELIGENCIA DE REDES</v>
      </c>
      <c r="G27" s="33">
        <v>49196</v>
      </c>
      <c r="H27" s="37" t="s">
        <v>284</v>
      </c>
      <c r="I27" s="32"/>
      <c r="J27" s="32"/>
      <c r="K27" s="32"/>
    </row>
    <row r="28" spans="1:11" ht="19.5">
      <c r="A28" s="21" t="s">
        <v>234</v>
      </c>
      <c r="B28" s="21" t="s">
        <v>235</v>
      </c>
      <c r="C28" s="21" t="s">
        <v>286</v>
      </c>
      <c r="D28" s="21" t="s">
        <v>287</v>
      </c>
      <c r="E28" s="35" t="str">
        <f>_xlfn.CONCAT(Funcionários!B30)</f>
        <v>CAROLINE FOGAÇA DA ROCHA</v>
      </c>
      <c r="F28" s="35" t="str">
        <f>_xlfn.CONCAT(Setor!B12)</f>
        <v>EXPERIENCIA DAS PESSOAS</v>
      </c>
      <c r="G28" s="33">
        <v>49197</v>
      </c>
      <c r="H28" s="37"/>
      <c r="I28" s="32"/>
      <c r="J28" s="32"/>
      <c r="K28" s="32"/>
    </row>
    <row r="29" spans="1:11" ht="19.5">
      <c r="A29" s="21" t="s">
        <v>234</v>
      </c>
      <c r="B29" s="21" t="s">
        <v>235</v>
      </c>
      <c r="C29" s="21" t="s">
        <v>286</v>
      </c>
      <c r="D29" s="21" t="s">
        <v>288</v>
      </c>
      <c r="E29" s="35" t="str">
        <f>_xlfn.CONCAT(Funcionários!B47)</f>
        <v>MANUELLA GUIMARÃES</v>
      </c>
      <c r="F29" s="35"/>
      <c r="G29" s="33">
        <v>49192</v>
      </c>
      <c r="H29" s="37"/>
      <c r="I29" s="32"/>
      <c r="J29" s="32"/>
      <c r="K29" s="32"/>
    </row>
    <row r="30" spans="1:11" ht="19.5">
      <c r="A30" s="21" t="s">
        <v>234</v>
      </c>
      <c r="B30" s="21" t="s">
        <v>235</v>
      </c>
      <c r="C30" s="21" t="s">
        <v>286</v>
      </c>
      <c r="D30" s="21" t="s">
        <v>289</v>
      </c>
      <c r="E30" s="35" t="str">
        <f>_xlfn.CONCAT(Funcionários!B65)</f>
        <v>JAQUELINE FREITAS JACQUES</v>
      </c>
      <c r="F30" s="35" t="str">
        <f>_xlfn.CONCAT(Setor!B5)</f>
        <v>RELACIONAMENTO COM O CLIENTE</v>
      </c>
      <c r="G30" s="33">
        <v>49175</v>
      </c>
      <c r="H30" s="37"/>
      <c r="I30" s="32"/>
      <c r="J30" s="32"/>
      <c r="K30" s="32"/>
    </row>
    <row r="31" spans="1:11" ht="19.5">
      <c r="A31" s="21" t="s">
        <v>234</v>
      </c>
      <c r="B31" s="21" t="s">
        <v>290</v>
      </c>
      <c r="C31" s="21" t="s">
        <v>291</v>
      </c>
      <c r="D31" s="21" t="s">
        <v>292</v>
      </c>
      <c r="E31" s="35" t="str">
        <f>_xlfn.CONCAT(Funcionários!B28)</f>
        <v>VANDERLEI MANENTTI SCOTT</v>
      </c>
      <c r="F31" s="35" t="str">
        <f>_xlfn.CONCAT(Funcionários!C28)</f>
        <v>CTO</v>
      </c>
      <c r="G31" s="33">
        <v>44920</v>
      </c>
      <c r="H31" s="37" t="s">
        <v>293</v>
      </c>
      <c r="I31" s="32"/>
      <c r="J31" s="32"/>
      <c r="K31" s="32"/>
    </row>
    <row r="32" spans="1:11" ht="19.5">
      <c r="A32" s="21" t="s">
        <v>234</v>
      </c>
      <c r="B32" s="21" t="s">
        <v>290</v>
      </c>
      <c r="C32" s="21" t="s">
        <v>291</v>
      </c>
      <c r="D32" s="21" t="s">
        <v>294</v>
      </c>
      <c r="E32" s="35" t="s">
        <v>295</v>
      </c>
      <c r="F32" s="35" t="s">
        <v>31</v>
      </c>
      <c r="G32" s="33">
        <v>40396</v>
      </c>
      <c r="H32" s="37" t="s">
        <v>296</v>
      </c>
      <c r="I32" s="32"/>
      <c r="J32" s="32"/>
      <c r="K32" s="32"/>
    </row>
    <row r="33" spans="1:11" ht="19.5">
      <c r="A33" s="21" t="s">
        <v>234</v>
      </c>
      <c r="B33" s="21" t="s">
        <v>290</v>
      </c>
      <c r="C33" s="21" t="s">
        <v>291</v>
      </c>
      <c r="D33" s="21" t="s">
        <v>297</v>
      </c>
      <c r="E33" s="35" t="s">
        <v>295</v>
      </c>
      <c r="F33" s="35" t="s">
        <v>31</v>
      </c>
      <c r="G33" s="33">
        <v>40398</v>
      </c>
      <c r="H33" s="37" t="s">
        <v>296</v>
      </c>
      <c r="I33" s="32"/>
      <c r="J33" s="32"/>
      <c r="K33" s="32"/>
    </row>
    <row r="34" spans="1:11" ht="19.5">
      <c r="A34" s="21" t="s">
        <v>234</v>
      </c>
      <c r="B34" s="21" t="s">
        <v>290</v>
      </c>
      <c r="C34" s="21" t="s">
        <v>291</v>
      </c>
      <c r="D34" s="21" t="s">
        <v>298</v>
      </c>
      <c r="E34" s="35" t="s">
        <v>299</v>
      </c>
      <c r="F34" s="35" t="s">
        <v>80</v>
      </c>
      <c r="G34" s="33">
        <v>40397</v>
      </c>
      <c r="H34" s="37" t="s">
        <v>296</v>
      </c>
      <c r="I34" s="32"/>
      <c r="J34" s="32"/>
      <c r="K34" s="32"/>
    </row>
    <row r="35" spans="1:11" ht="19.5">
      <c r="A35" s="21" t="s">
        <v>234</v>
      </c>
      <c r="B35" s="21" t="s">
        <v>290</v>
      </c>
      <c r="C35" s="21" t="s">
        <v>291</v>
      </c>
      <c r="D35" s="21" t="s">
        <v>300</v>
      </c>
      <c r="E35" s="35" t="s">
        <v>299</v>
      </c>
      <c r="F35" s="35" t="s">
        <v>80</v>
      </c>
      <c r="G35" s="33">
        <v>40386</v>
      </c>
      <c r="H35" s="37" t="s">
        <v>296</v>
      </c>
      <c r="I35" s="32"/>
      <c r="J35" s="32"/>
      <c r="K35" s="32"/>
    </row>
    <row r="36" spans="1:11" ht="19.5">
      <c r="A36" s="21" t="s">
        <v>234</v>
      </c>
      <c r="B36" s="21" t="s">
        <v>290</v>
      </c>
      <c r="C36" s="23" t="s">
        <v>301</v>
      </c>
      <c r="D36" s="21" t="s">
        <v>302</v>
      </c>
      <c r="E36" s="22" t="str">
        <f>_xlfn.CONCAT(Funcionários!B13)</f>
        <v>JAKSON WEINGARTNER</v>
      </c>
      <c r="F36" s="22" t="str">
        <f>_xlfn.CONCAT(Setor!B7)</f>
        <v>INTELIGENCIA DE REDES</v>
      </c>
      <c r="G36" s="33">
        <v>26037</v>
      </c>
      <c r="H36" s="37"/>
      <c r="I36" s="32"/>
      <c r="J36" s="32"/>
      <c r="K36" s="32"/>
    </row>
    <row r="37" spans="1:11" ht="19.5">
      <c r="A37" s="21" t="s">
        <v>234</v>
      </c>
      <c r="B37" s="21" t="s">
        <v>290</v>
      </c>
      <c r="C37" s="23" t="s">
        <v>303</v>
      </c>
      <c r="D37" s="21" t="s">
        <v>304</v>
      </c>
      <c r="E37" s="35" t="str">
        <f>_xlfn.CONCAT(Funcionários!B21)</f>
        <v>MILENE CRISTINA DA SILVA</v>
      </c>
      <c r="F37" s="35" t="str">
        <f>_xlfn.CONCAT(Funcionários!C21)</f>
        <v>FINANCEIRO</v>
      </c>
      <c r="G37" s="33">
        <v>40483</v>
      </c>
      <c r="H37" s="37"/>
      <c r="I37" s="32"/>
      <c r="J37" s="32"/>
      <c r="K37" s="32"/>
    </row>
    <row r="38" spans="1:11" ht="19.5">
      <c r="A38" s="21" t="s">
        <v>234</v>
      </c>
      <c r="B38" s="21" t="s">
        <v>290</v>
      </c>
      <c r="C38" s="21" t="s">
        <v>303</v>
      </c>
      <c r="D38" s="23" t="s">
        <v>305</v>
      </c>
      <c r="E38" s="35" t="str">
        <f>_xlfn.CONCAT(Funcionários!B122)</f>
        <v>TATIANE BORGES DE RESENDE</v>
      </c>
      <c r="F38" s="35" t="str">
        <f>_xlfn.CONCAT(Funcionários!C122)</f>
        <v>COMERCIAL</v>
      </c>
      <c r="G38" s="33">
        <v>40382</v>
      </c>
      <c r="H38" s="37" t="s">
        <v>293</v>
      </c>
      <c r="I38" s="32"/>
      <c r="J38" s="32"/>
      <c r="K38" s="32"/>
    </row>
    <row r="39" spans="1:11" ht="19.5">
      <c r="A39" s="21" t="s">
        <v>234</v>
      </c>
      <c r="B39" s="21" t="s">
        <v>306</v>
      </c>
      <c r="C39" s="23" t="s">
        <v>307</v>
      </c>
      <c r="D39" s="21" t="s">
        <v>308</v>
      </c>
      <c r="E39" s="35" t="str">
        <f>_xlfn.CONCAT(Funcionários!B36)</f>
        <v>AMANDA NEVES DE BARROS</v>
      </c>
      <c r="F39" s="35" t="str">
        <f>_xlfn.CONCAT(Funcionários!C36)</f>
        <v>RELACIONAMENTO COM O CLIENTE</v>
      </c>
      <c r="G39" s="33">
        <v>40182</v>
      </c>
      <c r="H39" s="37"/>
      <c r="I39" s="32"/>
      <c r="J39" s="32"/>
      <c r="K39" s="32"/>
    </row>
    <row r="40" spans="1:11" ht="19.5">
      <c r="A40" s="21" t="s">
        <v>234</v>
      </c>
      <c r="B40" s="21" t="s">
        <v>306</v>
      </c>
      <c r="C40" s="23" t="s">
        <v>307</v>
      </c>
      <c r="D40" s="21" t="s">
        <v>309</v>
      </c>
      <c r="E40" s="35" t="str">
        <f>_xlfn.CONCAT(Funcionários!B35)</f>
        <v>WILLIAN RIBEIRO DE SOUZA</v>
      </c>
      <c r="F40" s="35" t="str">
        <f>_xlfn.CONCAT(Funcionários!C35)</f>
        <v>GESTÃO DE FORNECEDORES</v>
      </c>
      <c r="G40" s="33">
        <v>40181</v>
      </c>
      <c r="H40" s="37"/>
      <c r="I40" s="32"/>
      <c r="J40" s="32"/>
      <c r="K40" s="32"/>
    </row>
    <row r="41" spans="1:11" ht="19.5">
      <c r="A41" s="21" t="s">
        <v>234</v>
      </c>
      <c r="B41" s="21" t="s">
        <v>306</v>
      </c>
      <c r="C41" s="23" t="s">
        <v>307</v>
      </c>
      <c r="D41" s="21" t="s">
        <v>310</v>
      </c>
      <c r="E41" s="35" t="str">
        <f>_xlfn.CONCAT(Funcionários!B54)</f>
        <v>GABRIEL DA SILVA DIAS</v>
      </c>
      <c r="F41" s="35" t="str">
        <f>_xlfn.CONCAT(Funcionários!C54)</f>
        <v>RELACIONAMENTO COM O CLIENTE</v>
      </c>
      <c r="G41" s="33">
        <v>40038</v>
      </c>
      <c r="H41" s="37"/>
      <c r="I41" s="32"/>
      <c r="J41" s="32"/>
      <c r="K41" s="32"/>
    </row>
    <row r="42" spans="1:11" ht="19.5">
      <c r="A42" s="21" t="s">
        <v>234</v>
      </c>
      <c r="B42" s="21" t="s">
        <v>290</v>
      </c>
      <c r="C42" s="21" t="s">
        <v>311</v>
      </c>
      <c r="D42" s="21" t="s">
        <v>312</v>
      </c>
      <c r="E42" s="21" t="str">
        <f>_xlfn.CONCAT(Funcionários!B5)</f>
        <v>JOÃO BUTZKE</v>
      </c>
      <c r="F42" s="21" t="str">
        <f>_xlfn.CONCAT(Funcionários!C5)</f>
        <v>INTELIGENCIA DE REDES</v>
      </c>
      <c r="G42" s="33">
        <v>42138</v>
      </c>
      <c r="H42" s="37" t="s">
        <v>293</v>
      </c>
      <c r="I42" s="32"/>
      <c r="J42" s="32"/>
      <c r="K42" s="32"/>
    </row>
    <row r="43" spans="1:11" ht="19.5">
      <c r="A43" s="21" t="s">
        <v>234</v>
      </c>
      <c r="B43" s="21" t="s">
        <v>290</v>
      </c>
      <c r="C43" s="23" t="s">
        <v>313</v>
      </c>
      <c r="D43" s="21" t="s">
        <v>314</v>
      </c>
      <c r="E43" s="21" t="str">
        <f>_xlfn.CONCAT(Funcionários!B148)</f>
        <v>RAFAELA DILL DA SILVA</v>
      </c>
      <c r="F43" s="21" t="str">
        <f>_xlfn.CONCAT(Funcionários!C148)</f>
        <v>RELACIONAMENTO COM O CLIENTE</v>
      </c>
      <c r="G43" s="33">
        <v>28180</v>
      </c>
      <c r="H43" s="37"/>
      <c r="I43" s="32"/>
      <c r="J43" s="32"/>
      <c r="K43" s="32"/>
    </row>
    <row r="44" spans="1:11" ht="19.5">
      <c r="A44" s="21" t="s">
        <v>234</v>
      </c>
      <c r="B44" s="21" t="s">
        <v>290</v>
      </c>
      <c r="C44" s="23" t="s">
        <v>311</v>
      </c>
      <c r="D44" s="21" t="s">
        <v>315</v>
      </c>
      <c r="E44" s="35"/>
      <c r="F44" s="35"/>
      <c r="G44" s="33">
        <v>28791</v>
      </c>
      <c r="H44" s="37"/>
      <c r="I44" s="32"/>
      <c r="J44" s="32"/>
      <c r="K44" s="32"/>
    </row>
    <row r="45" spans="1:11" ht="19.5">
      <c r="A45" s="21" t="s">
        <v>234</v>
      </c>
      <c r="B45" s="21" t="s">
        <v>290</v>
      </c>
      <c r="C45" s="23" t="s">
        <v>311</v>
      </c>
      <c r="D45" s="21" t="s">
        <v>316</v>
      </c>
      <c r="E45" s="35"/>
      <c r="F45" s="35"/>
      <c r="G45" s="33">
        <v>43849</v>
      </c>
      <c r="H45" s="37" t="s">
        <v>293</v>
      </c>
      <c r="I45" s="32"/>
      <c r="J45" s="32"/>
      <c r="K45" s="32"/>
    </row>
    <row r="46" spans="1:11" ht="19.5">
      <c r="A46" s="21" t="s">
        <v>234</v>
      </c>
      <c r="B46" s="21" t="s">
        <v>317</v>
      </c>
      <c r="C46" s="23" t="s">
        <v>318</v>
      </c>
      <c r="D46" s="21" t="s">
        <v>319</v>
      </c>
      <c r="E46" s="35" t="str">
        <f>_xlfn.CONCAT(Funcionários!B6)</f>
        <v>FELIPE FOLSTER</v>
      </c>
      <c r="F46" s="35" t="str">
        <f>_xlfn.CONCAT(Funcionários!C6)</f>
        <v>INTELIGENCIA DE REDES</v>
      </c>
      <c r="G46" s="33">
        <v>48699</v>
      </c>
      <c r="H46" s="37"/>
      <c r="I46" s="32"/>
      <c r="J46" s="32"/>
      <c r="K46" s="32"/>
    </row>
    <row r="47" spans="1:11" ht="19.5">
      <c r="A47" s="21" t="s">
        <v>234</v>
      </c>
      <c r="B47" s="21" t="s">
        <v>290</v>
      </c>
      <c r="C47" s="23" t="s">
        <v>301</v>
      </c>
      <c r="D47" s="21" t="s">
        <v>320</v>
      </c>
      <c r="E47" s="21" t="str">
        <f>_xlfn.CONCAT(Funcionários!B128)</f>
        <v>JULIANA MACHADO MARTINHO</v>
      </c>
      <c r="F47" s="21" t="str">
        <f>_xlfn.CONCAT(Funcionários!C128)</f>
        <v>FINANCEIRO</v>
      </c>
      <c r="G47" s="33">
        <v>26047</v>
      </c>
      <c r="H47" s="37"/>
      <c r="I47" s="32"/>
      <c r="J47" s="32"/>
      <c r="K47" s="32"/>
    </row>
    <row r="48" spans="1:11" ht="19.5">
      <c r="A48" s="21" t="s">
        <v>234</v>
      </c>
      <c r="B48" s="21" t="s">
        <v>290</v>
      </c>
      <c r="C48" s="21" t="s">
        <v>313</v>
      </c>
      <c r="D48" s="21" t="s">
        <v>321</v>
      </c>
      <c r="E48" s="21" t="str">
        <f>_xlfn.CONCAT(Funcionários!B84)</f>
        <v>RAKELI VIEIRA</v>
      </c>
      <c r="F48" s="21" t="str">
        <f>_xlfn.CONCAT(Funcionários!C84)</f>
        <v>RELACIONAMENTO COM O CLIENTE</v>
      </c>
      <c r="G48" s="33">
        <v>26046</v>
      </c>
      <c r="H48" s="37"/>
      <c r="I48" s="32"/>
      <c r="J48" s="32"/>
      <c r="K48" s="32"/>
    </row>
    <row r="49" spans="1:11" ht="19.5">
      <c r="A49" s="21" t="s">
        <v>234</v>
      </c>
      <c r="B49" s="21" t="s">
        <v>290</v>
      </c>
      <c r="C49" s="21" t="s">
        <v>313</v>
      </c>
      <c r="D49" s="21" t="s">
        <v>322</v>
      </c>
      <c r="E49" s="21" t="str">
        <f>_xlfn.CONCAT(Funcionários!B10)</f>
        <v>VINICIUS COELHO</v>
      </c>
      <c r="F49" s="21" t="str">
        <f>_xlfn.CONCAT(Setor!B10)</f>
        <v>AGILIDADE</v>
      </c>
      <c r="G49" s="33">
        <v>26040</v>
      </c>
      <c r="H49" s="37"/>
      <c r="I49" s="32"/>
      <c r="J49" s="32"/>
      <c r="K49" s="32"/>
    </row>
    <row r="50" spans="1:11" ht="19.5">
      <c r="A50" s="21" t="s">
        <v>234</v>
      </c>
      <c r="B50" s="21" t="s">
        <v>290</v>
      </c>
      <c r="C50" s="21" t="s">
        <v>313</v>
      </c>
      <c r="D50" s="21" t="s">
        <v>323</v>
      </c>
      <c r="E50" s="21"/>
      <c r="F50" s="21"/>
      <c r="G50" s="33">
        <v>28192</v>
      </c>
      <c r="H50" s="37"/>
      <c r="I50" s="32"/>
      <c r="J50" s="32"/>
      <c r="K50" s="32"/>
    </row>
    <row r="51" spans="1:11" ht="19.5">
      <c r="A51" s="21" t="s">
        <v>234</v>
      </c>
      <c r="B51" s="21" t="s">
        <v>235</v>
      </c>
      <c r="C51" s="21" t="s">
        <v>311</v>
      </c>
      <c r="D51" s="21" t="s">
        <v>324</v>
      </c>
      <c r="E51" s="21" t="str">
        <f>_xlfn.CONCAT(Funcionários!B120)</f>
        <v>JOÃO VICTOR MUNIZ DA SILVA</v>
      </c>
      <c r="F51" s="21" t="str">
        <f>_xlfn.CONCAT(Funcionários!C120)</f>
        <v>RELACIONAMENTO COM O CLIENTE</v>
      </c>
      <c r="G51" s="33">
        <v>43837</v>
      </c>
      <c r="H51" s="37"/>
      <c r="I51" s="32"/>
      <c r="J51" s="32"/>
      <c r="K51" s="32"/>
    </row>
    <row r="52" spans="1:11" ht="19.5">
      <c r="A52" s="21" t="s">
        <v>234</v>
      </c>
      <c r="B52" s="21" t="s">
        <v>235</v>
      </c>
      <c r="C52" s="21" t="s">
        <v>311</v>
      </c>
      <c r="D52" s="21" t="s">
        <v>325</v>
      </c>
      <c r="E52" s="21" t="str">
        <f>_xlfn.CONCAT(Funcionários!B12)</f>
        <v>CAIO EDUARDO SIQUEIRA DA SILVA</v>
      </c>
      <c r="F52" s="21" t="str">
        <f>_xlfn.CONCAT(Funcionários!C12)</f>
        <v>INTELIGENCIA DE REDES</v>
      </c>
      <c r="G52" s="33">
        <v>43844</v>
      </c>
      <c r="H52" s="37"/>
      <c r="I52" s="32"/>
      <c r="J52" s="32"/>
      <c r="K52" s="32"/>
    </row>
    <row r="53" spans="1:11" ht="19.5">
      <c r="A53" s="21" t="s">
        <v>234</v>
      </c>
      <c r="B53" s="21" t="s">
        <v>235</v>
      </c>
      <c r="C53" s="21" t="s">
        <v>311</v>
      </c>
      <c r="D53" s="21" t="s">
        <v>326</v>
      </c>
      <c r="E53" s="21" t="str">
        <f>_xlfn.CONCAT(Funcionários!B31)</f>
        <v>LETICIA EMANUELE DE OLIVEIRA</v>
      </c>
      <c r="F53" s="21" t="str">
        <f>_xlfn.CONCAT(Funcionários!C31)</f>
        <v>EXPERIENCIA DAS PESSOAS</v>
      </c>
      <c r="G53" s="33">
        <v>43846</v>
      </c>
      <c r="H53" s="37" t="s">
        <v>327</v>
      </c>
      <c r="I53" s="32"/>
      <c r="J53" s="32"/>
      <c r="K53" s="32"/>
    </row>
    <row r="54" spans="1:11" ht="19.5">
      <c r="A54" s="21" t="s">
        <v>234</v>
      </c>
      <c r="B54" s="21" t="s">
        <v>235</v>
      </c>
      <c r="C54" s="21" t="s">
        <v>303</v>
      </c>
      <c r="D54" s="21" t="s">
        <v>328</v>
      </c>
      <c r="E54" s="21" t="str">
        <f>_xlfn.CONCAT(Funcionários!B9)</f>
        <v>LUIZA CUNHA SENA</v>
      </c>
      <c r="F54" s="21" t="str">
        <f>_xlfn.CONCAT(Funcionários!C9)</f>
        <v>AGILIDADE</v>
      </c>
      <c r="G54" s="33">
        <v>43840</v>
      </c>
      <c r="H54" s="37"/>
      <c r="I54" s="32"/>
      <c r="J54" s="32"/>
      <c r="K54" s="32"/>
    </row>
    <row r="55" spans="1:11" ht="19.5">
      <c r="A55" s="21" t="s">
        <v>234</v>
      </c>
      <c r="B55" s="21" t="s">
        <v>290</v>
      </c>
      <c r="C55" s="21" t="s">
        <v>313</v>
      </c>
      <c r="D55" s="21" t="s">
        <v>329</v>
      </c>
      <c r="E55" s="21" t="e">
        <f>_xlfn.CONCAT(Funcionários!#REF!)</f>
        <v>#REF!</v>
      </c>
      <c r="F55" s="21" t="e">
        <f>_xlfn.CONCAT(Funcionários!#REF!)</f>
        <v>#REF!</v>
      </c>
      <c r="G55" s="33">
        <v>28163</v>
      </c>
      <c r="H55" s="37"/>
      <c r="I55" s="32"/>
      <c r="J55" s="32"/>
      <c r="K55" s="32"/>
    </row>
    <row r="56" spans="1:11" ht="19.5">
      <c r="A56" s="21" t="s">
        <v>234</v>
      </c>
      <c r="B56" s="21" t="s">
        <v>290</v>
      </c>
      <c r="C56" s="21" t="s">
        <v>330</v>
      </c>
      <c r="D56" s="21" t="s">
        <v>331</v>
      </c>
      <c r="E56" s="21" t="s">
        <v>332</v>
      </c>
      <c r="F56" s="21" t="str">
        <f>_xlfn.CONCAT(Funcionários!C47)</f>
        <v>RELACIONAMENTO COM O CLIENTE</v>
      </c>
      <c r="G56" s="33">
        <v>28166</v>
      </c>
      <c r="H56" s="37"/>
      <c r="I56" s="32"/>
      <c r="J56" s="32"/>
      <c r="K56" s="32"/>
    </row>
    <row r="57" spans="1:11" ht="19.5">
      <c r="A57" s="21" t="s">
        <v>234</v>
      </c>
      <c r="B57" s="21" t="s">
        <v>290</v>
      </c>
      <c r="C57" s="21" t="s">
        <v>313</v>
      </c>
      <c r="D57" s="21" t="s">
        <v>333</v>
      </c>
      <c r="E57" s="21"/>
      <c r="F57" s="21" t="str">
        <f>_xlfn.CONCAT(Setor!B5)</f>
        <v>RELACIONAMENTO COM O CLIENTE</v>
      </c>
      <c r="G57" s="33">
        <v>28167</v>
      </c>
      <c r="H57" s="37"/>
      <c r="I57" s="32"/>
      <c r="J57" s="32"/>
      <c r="K57" s="32"/>
    </row>
    <row r="58" spans="1:11" ht="19.5">
      <c r="A58" s="21" t="s">
        <v>234</v>
      </c>
      <c r="B58" s="21" t="s">
        <v>290</v>
      </c>
      <c r="C58" s="21" t="s">
        <v>313</v>
      </c>
      <c r="D58" s="21" t="s">
        <v>334</v>
      </c>
      <c r="E58" s="21" t="str">
        <f>_xlfn.CONCAT(Funcionários!B147)</f>
        <v>CRISTIANE SOARES</v>
      </c>
      <c r="F58" s="21" t="str">
        <f>_xlfn.CONCAT(Funcionários!C147)</f>
        <v>AGILIDADE</v>
      </c>
      <c r="G58" s="33">
        <v>28197</v>
      </c>
      <c r="H58" s="37" t="s">
        <v>335</v>
      </c>
      <c r="I58" s="32"/>
      <c r="J58" s="32"/>
      <c r="K58" s="32"/>
    </row>
    <row r="59" spans="1:11" ht="19.5">
      <c r="A59" s="21" t="s">
        <v>234</v>
      </c>
      <c r="B59" s="21" t="s">
        <v>290</v>
      </c>
      <c r="C59" s="21" t="s">
        <v>311</v>
      </c>
      <c r="D59" s="21" t="s">
        <v>336</v>
      </c>
      <c r="E59" s="21" t="str">
        <f>_xlfn.CONCAT(Funcionários!B17)</f>
        <v>LARISSA MAY BACK</v>
      </c>
      <c r="F59" s="21" t="str">
        <f>_xlfn.CONCAT(Setor!B8)</f>
        <v>FINANCEIRO</v>
      </c>
      <c r="G59" s="33">
        <v>28790</v>
      </c>
      <c r="H59" s="37"/>
      <c r="I59" s="32"/>
      <c r="J59" s="32"/>
      <c r="K59" s="32"/>
    </row>
    <row r="60" spans="1:11" ht="19.5">
      <c r="A60" s="21" t="s">
        <v>234</v>
      </c>
      <c r="B60" s="21" t="s">
        <v>290</v>
      </c>
      <c r="C60" s="21" t="s">
        <v>330</v>
      </c>
      <c r="D60" s="21" t="s">
        <v>337</v>
      </c>
      <c r="E60" s="21" t="str">
        <f>_xlfn.CONCAT(Funcionários!B152)</f>
        <v>SALOMÃO PEREIRA GUERINI</v>
      </c>
      <c r="F60" s="21" t="str">
        <f>_xlfn.CONCAT(Funcionários!C152)</f>
        <v>RELACIONAMENTO COM O CLIENTE</v>
      </c>
      <c r="G60" s="33">
        <v>28168</v>
      </c>
      <c r="H60" s="37"/>
      <c r="I60" s="32"/>
      <c r="J60" s="32"/>
      <c r="K60" s="32"/>
    </row>
    <row r="61" spans="1:11" ht="19.5">
      <c r="A61" s="21" t="s">
        <v>234</v>
      </c>
      <c r="B61" s="21" t="s">
        <v>290</v>
      </c>
      <c r="C61" s="21" t="s">
        <v>313</v>
      </c>
      <c r="D61" s="21" t="s">
        <v>338</v>
      </c>
      <c r="E61" s="21" t="str">
        <f>_xlfn.CONCAT(Funcionários!B55)</f>
        <v>LUIS GABRIEL RIBEIRO ARIAS</v>
      </c>
      <c r="F61" s="21" t="str">
        <f>_xlfn.CONCAT(Funcionários!C55)</f>
        <v>RELACIONAMENTO COM O CLIENTE</v>
      </c>
      <c r="G61" s="33">
        <v>28175</v>
      </c>
      <c r="H61" s="37" t="s">
        <v>339</v>
      </c>
      <c r="I61" s="32"/>
      <c r="J61" s="32"/>
      <c r="K61" s="32"/>
    </row>
    <row r="62" spans="1:11" ht="19.5">
      <c r="A62" s="21" t="s">
        <v>234</v>
      </c>
      <c r="B62" s="21" t="s">
        <v>340</v>
      </c>
      <c r="C62" s="21" t="s">
        <v>341</v>
      </c>
      <c r="D62" s="21" t="s">
        <v>342</v>
      </c>
      <c r="E62" s="21" t="str">
        <f>_xlfn.CONCAT(Funcionários!B25)</f>
        <v>MIHAY FERREIRA</v>
      </c>
      <c r="F62" s="21" t="str">
        <f>_xlfn.CONCAT(Funcionários!C25)</f>
        <v>COMERCIAL</v>
      </c>
      <c r="G62" s="33">
        <v>28184</v>
      </c>
      <c r="H62" s="37"/>
      <c r="I62" s="32"/>
      <c r="J62" s="32"/>
      <c r="K62" s="32"/>
    </row>
    <row r="63" spans="1:11" ht="19.5">
      <c r="A63" s="21" t="s">
        <v>234</v>
      </c>
      <c r="B63" s="21" t="s">
        <v>290</v>
      </c>
      <c r="C63" s="21" t="s">
        <v>330</v>
      </c>
      <c r="D63" s="21" t="s">
        <v>343</v>
      </c>
      <c r="E63" s="21" t="str">
        <f>_xlfn.CONCAT(Funcionários!B16)</f>
        <v>ANA CARLA DA ROSA GODINHO</v>
      </c>
      <c r="F63" s="21" t="str">
        <f>_xlfn.CONCAT(Setor!B8)</f>
        <v>FINANCEIRO</v>
      </c>
      <c r="G63" s="33">
        <v>28770</v>
      </c>
      <c r="H63" s="37"/>
      <c r="I63" s="32"/>
      <c r="J63" s="32"/>
      <c r="K63" s="32"/>
    </row>
    <row r="64" spans="1:11" ht="19.5">
      <c r="A64" s="21" t="s">
        <v>234</v>
      </c>
      <c r="B64" s="21" t="s">
        <v>290</v>
      </c>
      <c r="C64" s="21" t="s">
        <v>330</v>
      </c>
      <c r="D64" s="21" t="s">
        <v>344</v>
      </c>
      <c r="E64" s="21" t="str">
        <f>_xlfn.CONCAT(Funcionários!B149)</f>
        <v>CAROL GUMZ</v>
      </c>
      <c r="F64" s="21" t="str">
        <f>_xlfn.CONCAT(Funcionários!C149)</f>
        <v>COMERCIAL</v>
      </c>
      <c r="G64" s="33">
        <v>28788</v>
      </c>
      <c r="H64" s="37" t="s">
        <v>345</v>
      </c>
      <c r="I64" s="32"/>
      <c r="J64" s="32"/>
      <c r="K64" s="32"/>
    </row>
    <row r="65" spans="1:11" ht="19.5">
      <c r="A65" s="21" t="s">
        <v>234</v>
      </c>
      <c r="B65" s="21" t="s">
        <v>290</v>
      </c>
      <c r="C65" s="21" t="s">
        <v>346</v>
      </c>
      <c r="D65" s="21" t="s">
        <v>347</v>
      </c>
      <c r="E65" s="21" t="str">
        <f>_xlfn.CONCAT(Funcionários!B135)</f>
        <v>PATRICIA EDUARDA RIBEIRO PAZ</v>
      </c>
      <c r="F65" s="21" t="str">
        <f>_xlfn.CONCAT(Funcionários!C135)</f>
        <v>RELACIONAMENTO COM O CLIENTE</v>
      </c>
      <c r="G65" s="33">
        <v>28196</v>
      </c>
      <c r="H65" s="37"/>
      <c r="I65" s="32"/>
      <c r="J65" s="32"/>
      <c r="K65" s="32"/>
    </row>
    <row r="66" spans="1:11" ht="19.5">
      <c r="A66" s="21" t="s">
        <v>348</v>
      </c>
      <c r="B66" s="21" t="s">
        <v>349</v>
      </c>
      <c r="C66" s="21" t="s">
        <v>350</v>
      </c>
      <c r="D66" s="21"/>
      <c r="E66" s="21" t="s">
        <v>266</v>
      </c>
      <c r="F66" s="21"/>
      <c r="G66" s="99"/>
      <c r="H66" s="37" t="s">
        <v>351</v>
      </c>
      <c r="I66" s="32"/>
      <c r="J66" s="32"/>
      <c r="K66" s="32"/>
    </row>
    <row r="67" spans="1:11" ht="19.5">
      <c r="A67" s="21" t="s">
        <v>234</v>
      </c>
      <c r="B67" s="21" t="s">
        <v>235</v>
      </c>
      <c r="C67" s="21" t="s">
        <v>313</v>
      </c>
      <c r="D67" s="21" t="s">
        <v>352</v>
      </c>
      <c r="E67" s="21" t="str">
        <f>_xlfn.CONCAT(Funcionários!B76)</f>
        <v>RUTH MARTINS</v>
      </c>
      <c r="F67" s="21" t="str">
        <f>_xlfn.CONCAT(Funcionários!C9)</f>
        <v>AGILIDADE</v>
      </c>
      <c r="G67" s="33">
        <v>40384</v>
      </c>
      <c r="H67" s="37"/>
      <c r="I67" s="32"/>
      <c r="J67" s="32"/>
      <c r="K67" s="32"/>
    </row>
    <row r="68" spans="1:11" ht="19.5">
      <c r="A68" s="21" t="s">
        <v>234</v>
      </c>
      <c r="B68" s="21" t="s">
        <v>235</v>
      </c>
      <c r="C68" s="21" t="s">
        <v>313</v>
      </c>
      <c r="D68" s="21" t="s">
        <v>353</v>
      </c>
      <c r="E68" s="21"/>
      <c r="F68" s="21"/>
      <c r="G68" s="33">
        <v>37699</v>
      </c>
      <c r="H68" s="37"/>
      <c r="I68" s="32"/>
      <c r="J68" s="32"/>
      <c r="K68" s="32"/>
    </row>
    <row r="69" spans="1:11" ht="19.5">
      <c r="A69" s="21" t="s">
        <v>234</v>
      </c>
      <c r="B69" s="21" t="s">
        <v>235</v>
      </c>
      <c r="C69" s="21" t="s">
        <v>313</v>
      </c>
      <c r="D69" s="21" t="s">
        <v>354</v>
      </c>
      <c r="E69" s="21"/>
      <c r="F69" s="21"/>
      <c r="G69" s="33">
        <v>31886</v>
      </c>
      <c r="H69" s="37" t="s">
        <v>293</v>
      </c>
      <c r="I69" s="32"/>
      <c r="J69" s="32"/>
      <c r="K69" s="32"/>
    </row>
    <row r="70" spans="1:11" ht="19.5">
      <c r="A70" s="21" t="s">
        <v>234</v>
      </c>
      <c r="B70" s="21" t="s">
        <v>290</v>
      </c>
      <c r="C70" s="21" t="s">
        <v>311</v>
      </c>
      <c r="D70" s="21" t="s">
        <v>355</v>
      </c>
      <c r="E70" s="21"/>
      <c r="F70" s="21"/>
      <c r="G70" s="33">
        <v>28768</v>
      </c>
      <c r="H70" s="37"/>
      <c r="I70" s="32"/>
      <c r="J70" s="32"/>
      <c r="K70" s="32"/>
    </row>
    <row r="71" spans="1:11" ht="19.5">
      <c r="A71" s="21" t="s">
        <v>234</v>
      </c>
      <c r="B71" s="21" t="s">
        <v>290</v>
      </c>
      <c r="C71" s="21" t="s">
        <v>356</v>
      </c>
      <c r="D71" s="21" t="s">
        <v>357</v>
      </c>
      <c r="E71" s="21"/>
      <c r="F71" s="21"/>
      <c r="G71" s="33">
        <v>29754</v>
      </c>
      <c r="H71" s="37"/>
      <c r="I71" s="32"/>
      <c r="J71" s="32"/>
      <c r="K71" s="32"/>
    </row>
    <row r="72" spans="1:11" ht="19.5">
      <c r="A72" s="21" t="s">
        <v>234</v>
      </c>
      <c r="B72" s="21" t="s">
        <v>235</v>
      </c>
      <c r="C72" s="21" t="s">
        <v>330</v>
      </c>
      <c r="D72" s="21" t="s">
        <v>358</v>
      </c>
      <c r="E72" s="21" t="s">
        <v>359</v>
      </c>
      <c r="F72" s="21" t="str">
        <f>_xlfn.CONCAT(Funcionários!C127)</f>
        <v>RELACIONAMENTO COM O CLIENTE</v>
      </c>
      <c r="G72" s="33">
        <v>37761</v>
      </c>
      <c r="H72" s="37"/>
      <c r="I72" s="32"/>
      <c r="J72" s="32"/>
      <c r="K72" s="32"/>
    </row>
    <row r="73" spans="1:11" ht="19.5">
      <c r="A73" s="21" t="s">
        <v>234</v>
      </c>
      <c r="B73" s="21" t="s">
        <v>235</v>
      </c>
      <c r="C73" s="21" t="s">
        <v>330</v>
      </c>
      <c r="D73" s="21" t="s">
        <v>360</v>
      </c>
      <c r="E73" s="21" t="s">
        <v>332</v>
      </c>
      <c r="F73" s="21" t="str">
        <f>_xlfn.CONCAT(Setor!B5)</f>
        <v>RELACIONAMENTO COM O CLIENTE</v>
      </c>
      <c r="G73" s="33">
        <v>37700</v>
      </c>
      <c r="H73" s="37" t="s">
        <v>361</v>
      </c>
      <c r="I73" s="32"/>
      <c r="J73" s="32"/>
      <c r="K73" s="32"/>
    </row>
    <row r="74" spans="1:11" ht="19.5">
      <c r="A74" s="21" t="s">
        <v>234</v>
      </c>
      <c r="B74" s="21" t="s">
        <v>290</v>
      </c>
      <c r="C74" s="21" t="s">
        <v>311</v>
      </c>
      <c r="D74" s="21" t="s">
        <v>362</v>
      </c>
      <c r="E74" s="21" t="str">
        <f>_xlfn.CONCAT(Funcionários!B12)</f>
        <v>CAIO EDUARDO SIQUEIRA DA SILVA</v>
      </c>
      <c r="F74" s="21" t="str">
        <f>_xlfn.CONCAT(Funcionários!C12)</f>
        <v>INTELIGENCIA DE REDES</v>
      </c>
      <c r="G74" s="33">
        <v>28786</v>
      </c>
      <c r="H74" s="37"/>
      <c r="I74" s="32"/>
      <c r="J74" s="32"/>
      <c r="K74" s="32"/>
    </row>
    <row r="75" spans="1:11" ht="19.5">
      <c r="A75" s="21" t="s">
        <v>234</v>
      </c>
      <c r="B75" s="21" t="s">
        <v>235</v>
      </c>
      <c r="C75" s="21" t="s">
        <v>330</v>
      </c>
      <c r="D75" s="21" t="s">
        <v>363</v>
      </c>
      <c r="E75" s="21" t="s">
        <v>364</v>
      </c>
      <c r="F75" s="21"/>
      <c r="G75" s="33">
        <v>33999</v>
      </c>
      <c r="H75" s="65" t="s">
        <v>365</v>
      </c>
      <c r="I75" s="32"/>
      <c r="J75" s="32"/>
      <c r="K75" s="32"/>
    </row>
    <row r="76" spans="1:11" ht="19.5">
      <c r="A76" s="21" t="s">
        <v>234</v>
      </c>
      <c r="B76" s="21" t="s">
        <v>235</v>
      </c>
      <c r="C76" s="21" t="s">
        <v>330</v>
      </c>
      <c r="D76" s="21" t="s">
        <v>366</v>
      </c>
      <c r="E76" s="21" t="str">
        <f>_xlfn.CONCAT(Funcionários!B66)</f>
        <v>MORGANE CRISTINA RIBEIRO</v>
      </c>
      <c r="F76" s="21" t="str">
        <f>_xlfn.CONCAT(Funcionários!C66)</f>
        <v>RELACIONAMENTO COM O CLIENTE</v>
      </c>
      <c r="G76" s="33">
        <v>31879</v>
      </c>
      <c r="H76" s="65" t="s">
        <v>293</v>
      </c>
      <c r="I76" s="32"/>
      <c r="J76" s="32"/>
      <c r="K76" s="32"/>
    </row>
    <row r="77" spans="1:11" ht="19.5">
      <c r="A77" s="21" t="s">
        <v>234</v>
      </c>
      <c r="B77" s="21" t="s">
        <v>235</v>
      </c>
      <c r="C77" s="21" t="s">
        <v>303</v>
      </c>
      <c r="D77" s="21" t="s">
        <v>367</v>
      </c>
      <c r="E77" s="21" t="str">
        <f>_xlfn.CONCAT(Funcionários!B5)</f>
        <v>JOÃO BUTZKE</v>
      </c>
      <c r="F77" s="21" t="str">
        <f>_xlfn.CONCAT(Funcionários!C5)</f>
        <v>INTELIGENCIA DE REDES</v>
      </c>
      <c r="G77" s="33">
        <v>45316</v>
      </c>
      <c r="H77" s="37" t="s">
        <v>293</v>
      </c>
      <c r="I77" s="32"/>
      <c r="J77" s="32"/>
      <c r="K77" s="32"/>
    </row>
    <row r="78" spans="1:11" ht="19.5">
      <c r="A78" s="21" t="s">
        <v>234</v>
      </c>
      <c r="B78" s="21" t="s">
        <v>235</v>
      </c>
      <c r="C78" s="21" t="s">
        <v>303</v>
      </c>
      <c r="D78" s="21" t="s">
        <v>368</v>
      </c>
      <c r="E78" s="21" t="str">
        <f>_xlfn.CONCAT(Funcionários!B98)</f>
        <v>EMANUELA LEHMKUHL</v>
      </c>
      <c r="F78" s="21" t="str">
        <f>_xlfn.CONCAT(Setor!B5)</f>
        <v>RELACIONAMENTO COM O CLIENTE</v>
      </c>
      <c r="G78" s="33">
        <v>45318</v>
      </c>
      <c r="H78" s="37" t="s">
        <v>293</v>
      </c>
      <c r="I78" s="32"/>
      <c r="J78" s="32"/>
      <c r="K78" s="32"/>
    </row>
    <row r="79" spans="1:11" ht="19.5">
      <c r="A79" s="21" t="s">
        <v>234</v>
      </c>
      <c r="B79" s="21" t="s">
        <v>235</v>
      </c>
      <c r="C79" s="21" t="s">
        <v>303</v>
      </c>
      <c r="D79" s="21" t="s">
        <v>369</v>
      </c>
      <c r="E79" s="21" t="str">
        <f>_xlfn.CONCAT(Funcionários!B34)</f>
        <v>CAUAN SILVA DOS SANTOS</v>
      </c>
      <c r="F79" s="21" t="str">
        <f>_xlfn.CONCAT(Funcionários!C34)</f>
        <v>GESTÃO DE FORNECEDORES</v>
      </c>
      <c r="G79" s="33">
        <v>45324</v>
      </c>
      <c r="H79" s="37" t="s">
        <v>293</v>
      </c>
      <c r="I79" s="32"/>
      <c r="J79" s="32"/>
      <c r="K79" s="32"/>
    </row>
    <row r="80" spans="1:11" ht="19.5">
      <c r="A80" s="21" t="s">
        <v>234</v>
      </c>
      <c r="B80" s="21" t="s">
        <v>370</v>
      </c>
      <c r="C80" s="21" t="s">
        <v>318</v>
      </c>
      <c r="D80" s="21"/>
      <c r="E80" s="21" t="str">
        <f>_xlfn.CONCAT(Funcionários!B91)</f>
        <v>BRUNO MOREIRA</v>
      </c>
      <c r="F80" s="21" t="str">
        <f>_xlfn.CONCAT(Funcionários!C91)</f>
        <v>COORDENADOR</v>
      </c>
      <c r="G80" s="33">
        <v>48700</v>
      </c>
      <c r="H80" s="37" t="s">
        <v>293</v>
      </c>
      <c r="I80" s="32"/>
      <c r="J80" s="32"/>
      <c r="K80" s="32"/>
    </row>
    <row r="81" spans="1:11" ht="19.5">
      <c r="A81" s="21" t="s">
        <v>234</v>
      </c>
      <c r="B81" s="21" t="s">
        <v>371</v>
      </c>
      <c r="C81" s="21" t="s">
        <v>372</v>
      </c>
      <c r="D81" s="21"/>
      <c r="E81" s="21" t="str">
        <f>_xlfn.CONCAT(Funcionários!B35)</f>
        <v>WILLIAN RIBEIRO DE SOUZA</v>
      </c>
      <c r="F81" s="21" t="str">
        <f>_xlfn.CONCAT(Setor!B13)</f>
        <v>GESTÃO DE FORNECEDORES</v>
      </c>
      <c r="G81" s="33">
        <v>49194</v>
      </c>
      <c r="H81" s="37" t="s">
        <v>293</v>
      </c>
      <c r="I81" s="32"/>
      <c r="J81" s="32"/>
      <c r="K81" s="32"/>
    </row>
    <row r="82" spans="1:11" ht="19.5">
      <c r="A82" s="21" t="s">
        <v>234</v>
      </c>
      <c r="B82" s="21" t="s">
        <v>371</v>
      </c>
      <c r="C82" s="21" t="s">
        <v>372</v>
      </c>
      <c r="D82" s="21"/>
      <c r="E82" s="21" t="str">
        <f>_xlfn.CONCAT(Funcionários!B93)</f>
        <v>DAYANE SOARES PEREIRA</v>
      </c>
      <c r="F82" s="21" t="str">
        <f>_xlfn.CONCAT(Funcionários!C93)</f>
        <v>COMERCIAL</v>
      </c>
      <c r="G82" s="33">
        <v>49155</v>
      </c>
      <c r="H82" s="37" t="s">
        <v>293</v>
      </c>
      <c r="I82" s="32"/>
      <c r="J82" s="32"/>
      <c r="K82" s="32"/>
    </row>
    <row r="83" spans="1:11" ht="19.5">
      <c r="A83" s="21" t="s">
        <v>373</v>
      </c>
      <c r="B83" s="21" t="s">
        <v>374</v>
      </c>
      <c r="C83" s="21" t="s">
        <v>375</v>
      </c>
      <c r="D83" s="21"/>
      <c r="E83" s="22"/>
      <c r="F83" s="22"/>
      <c r="G83" s="33">
        <v>26041</v>
      </c>
      <c r="H83" s="37" t="s">
        <v>376</v>
      </c>
      <c r="I83" s="32"/>
      <c r="J83" s="32"/>
      <c r="K83" s="32"/>
    </row>
    <row r="84" spans="1:11" ht="19.5">
      <c r="A84" s="21" t="s">
        <v>373</v>
      </c>
      <c r="B84" s="21" t="s">
        <v>374</v>
      </c>
      <c r="C84" s="21" t="s">
        <v>377</v>
      </c>
      <c r="D84" s="21"/>
      <c r="E84" s="35" t="str">
        <f>_xlfn.CONCAT(Funcionários!B5)</f>
        <v>JOÃO BUTZKE</v>
      </c>
      <c r="F84" s="35" t="str">
        <f>_xlfn.CONCAT(Funcionários!C5)</f>
        <v>INTELIGENCIA DE REDES</v>
      </c>
      <c r="G84" s="33">
        <v>45317</v>
      </c>
      <c r="H84" s="37"/>
      <c r="I84" s="32"/>
      <c r="J84" s="32"/>
      <c r="K84" s="32"/>
    </row>
    <row r="85" spans="1:11" ht="19.5">
      <c r="A85" s="21" t="s">
        <v>373</v>
      </c>
      <c r="B85" s="21" t="s">
        <v>374</v>
      </c>
      <c r="C85" s="21" t="s">
        <v>378</v>
      </c>
      <c r="D85" s="21" t="s">
        <v>379</v>
      </c>
      <c r="E85" s="35" t="str">
        <f>_xlfn.CONCAT(Funcionários!B128)</f>
        <v>JULIANA MACHADO MARTINHO</v>
      </c>
      <c r="F85" s="35" t="str">
        <f>_xlfn.CONCAT(Funcionários!C128)</f>
        <v>FINANCEIRO</v>
      </c>
      <c r="G85" s="33">
        <v>40394</v>
      </c>
      <c r="H85" s="37" t="s">
        <v>380</v>
      </c>
      <c r="I85" s="32"/>
      <c r="J85" s="32"/>
      <c r="K85" s="32"/>
    </row>
    <row r="86" spans="1:11" ht="19.5">
      <c r="A86" s="21" t="s">
        <v>373</v>
      </c>
      <c r="B86" s="21" t="s">
        <v>374</v>
      </c>
      <c r="C86" s="21" t="s">
        <v>381</v>
      </c>
      <c r="D86" s="21" t="s">
        <v>382</v>
      </c>
      <c r="E86" s="35" t="s">
        <v>299</v>
      </c>
      <c r="F86" s="35" t="s">
        <v>383</v>
      </c>
      <c r="G86" s="33">
        <v>49176</v>
      </c>
      <c r="H86" s="37" t="s">
        <v>384</v>
      </c>
      <c r="I86" s="32"/>
      <c r="J86" s="32"/>
      <c r="K86" s="32"/>
    </row>
    <row r="87" spans="1:11" ht="19.5">
      <c r="A87" s="21" t="s">
        <v>373</v>
      </c>
      <c r="B87" s="21" t="s">
        <v>374</v>
      </c>
      <c r="C87" s="21" t="s">
        <v>385</v>
      </c>
      <c r="D87" s="21" t="s">
        <v>386</v>
      </c>
      <c r="E87" s="35" t="str">
        <f>_xlfn.CONCAT(Funcionários!B17)</f>
        <v>LARISSA MAY BACK</v>
      </c>
      <c r="F87" s="35" t="str">
        <f>_xlfn.CONCAT(Funcionários!C17)</f>
        <v>FINANCEIRO</v>
      </c>
      <c r="G87" s="33">
        <v>42149</v>
      </c>
      <c r="H87" s="37" t="s">
        <v>293</v>
      </c>
      <c r="I87" s="32"/>
      <c r="J87" s="32"/>
      <c r="K87" s="32"/>
    </row>
    <row r="88" spans="1:11" ht="19.5">
      <c r="A88" s="21" t="s">
        <v>373</v>
      </c>
      <c r="B88" s="21" t="s">
        <v>374</v>
      </c>
      <c r="C88" s="21" t="s">
        <v>387</v>
      </c>
      <c r="D88" s="21" t="s">
        <v>388</v>
      </c>
      <c r="E88" s="35" t="str">
        <f>_xlfn.CONCAT(Funcionários!B45)</f>
        <v>BRUNO RICARDO CAMPOS</v>
      </c>
      <c r="F88" s="35" t="str">
        <f>_xlfn.CONCAT(Setor!B6)</f>
        <v>INFRA</v>
      </c>
      <c r="G88" s="33">
        <v>49168</v>
      </c>
      <c r="H88" s="37" t="s">
        <v>389</v>
      </c>
      <c r="I88" s="32"/>
      <c r="J88" s="32"/>
      <c r="K88" s="32"/>
    </row>
    <row r="89" spans="1:11" ht="19.5">
      <c r="A89" s="21" t="s">
        <v>373</v>
      </c>
      <c r="B89" s="21" t="s">
        <v>374</v>
      </c>
      <c r="C89" s="21" t="s">
        <v>387</v>
      </c>
      <c r="D89" s="21" t="s">
        <v>390</v>
      </c>
      <c r="E89" s="35" t="str">
        <f>_xlfn.CONCAT(Funcionários!B152)</f>
        <v>SALOMÃO PEREIRA GUERINI</v>
      </c>
      <c r="F89" s="35" t="str">
        <f>_xlfn.CONCAT(Funcionários!C152)</f>
        <v>RELACIONAMENTO COM O CLIENTE</v>
      </c>
      <c r="G89" s="33">
        <v>49195</v>
      </c>
      <c r="H89" s="37" t="s">
        <v>391</v>
      </c>
      <c r="I89" s="32"/>
      <c r="J89" s="32"/>
      <c r="K89" s="32"/>
    </row>
    <row r="90" spans="1:11" ht="19.5">
      <c r="A90" s="21" t="s">
        <v>373</v>
      </c>
      <c r="B90" s="21" t="s">
        <v>374</v>
      </c>
      <c r="C90" s="21" t="s">
        <v>392</v>
      </c>
      <c r="D90" s="21" t="s">
        <v>393</v>
      </c>
      <c r="E90" s="35" t="str">
        <f>_xlfn.CONCAT(Funcionários!B68)</f>
        <v>RICARDO SOARES</v>
      </c>
      <c r="F90" s="35" t="str">
        <f>_xlfn.CONCAT(Funcionários!C68)</f>
        <v>RELACIONAMENTO COM O CLIENTE</v>
      </c>
      <c r="G90" s="33">
        <v>37764</v>
      </c>
      <c r="H90" s="37" t="s">
        <v>394</v>
      </c>
      <c r="I90" s="32"/>
      <c r="J90" s="32"/>
      <c r="K90" s="32"/>
    </row>
    <row r="91" spans="1:11" ht="19.5">
      <c r="A91" s="21" t="s">
        <v>373</v>
      </c>
      <c r="B91" s="21" t="s">
        <v>374</v>
      </c>
      <c r="C91" s="21" t="s">
        <v>395</v>
      </c>
      <c r="D91" s="21" t="s">
        <v>396</v>
      </c>
      <c r="E91" s="35" t="str">
        <f>_xlfn.CONCAT(Funcionários!B94)</f>
        <v>FAGNER GUSTAVO TOLEDO PEDROZO</v>
      </c>
      <c r="F91" s="35" t="str">
        <f>_xlfn.CONCAT(Funcionários!C94)</f>
        <v>RELACIONAMENTO COM O CLIENTE</v>
      </c>
      <c r="G91" s="33">
        <v>49162</v>
      </c>
      <c r="H91" s="37" t="s">
        <v>397</v>
      </c>
      <c r="I91" s="32"/>
      <c r="J91" s="32"/>
      <c r="K91" s="32"/>
    </row>
    <row r="92" spans="1:11" ht="32.25">
      <c r="A92" s="21" t="s">
        <v>373</v>
      </c>
      <c r="B92" s="21" t="s">
        <v>374</v>
      </c>
      <c r="C92" s="21" t="s">
        <v>395</v>
      </c>
      <c r="D92" s="21" t="s">
        <v>398</v>
      </c>
      <c r="E92" s="35" t="str">
        <f>_xlfn.CONCAT(Funcionários!B124)</f>
        <v>LUCAS REKSHAUSE</v>
      </c>
      <c r="F92" s="35" t="str">
        <f>_xlfn.CONCAT(Funcionários!C94)</f>
        <v>RELACIONAMENTO COM O CLIENTE</v>
      </c>
      <c r="G92" s="33">
        <v>40389</v>
      </c>
      <c r="H92" s="66" t="s">
        <v>399</v>
      </c>
      <c r="I92" s="32"/>
      <c r="J92" s="32"/>
      <c r="K92" s="32"/>
    </row>
    <row r="93" spans="1:11" ht="19.5">
      <c r="A93" s="21" t="s">
        <v>373</v>
      </c>
      <c r="B93" s="21" t="s">
        <v>374</v>
      </c>
      <c r="C93" s="21" t="s">
        <v>395</v>
      </c>
      <c r="D93" s="21" t="s">
        <v>400</v>
      </c>
      <c r="E93" s="21" t="str">
        <f>_xlfn.CONCAT(Funcionários!B50)</f>
        <v>FELLIPE GARCIA</v>
      </c>
      <c r="F93" s="35" t="str">
        <f>_xlfn.CONCAT(Funcionários!C50)</f>
        <v>RELACIONAMENTO COM O CLIENTE</v>
      </c>
      <c r="G93" s="33">
        <v>40388</v>
      </c>
      <c r="H93" s="37"/>
      <c r="I93" s="32"/>
      <c r="J93" s="32"/>
      <c r="K93" s="32"/>
    </row>
    <row r="94" spans="1:11" ht="19.5">
      <c r="A94" s="21" t="s">
        <v>373</v>
      </c>
      <c r="B94" s="21" t="s">
        <v>374</v>
      </c>
      <c r="C94" s="21" t="s">
        <v>401</v>
      </c>
      <c r="D94" s="21" t="s">
        <v>402</v>
      </c>
      <c r="E94" s="21" t="str">
        <f>_xlfn.CONCAT(Funcionários!B57)</f>
        <v>HUGO QUARESMA SOUZA</v>
      </c>
      <c r="F94" s="35" t="str">
        <f>_xlfn.CONCAT(Funcionários!C57)</f>
        <v>RELACIONAMENTO COM O CLIENTE</v>
      </c>
      <c r="G94" s="33">
        <v>44901</v>
      </c>
      <c r="H94" s="37" t="s">
        <v>403</v>
      </c>
      <c r="I94" s="32"/>
      <c r="J94" s="32"/>
      <c r="K94" s="32"/>
    </row>
    <row r="95" spans="1:11" ht="19.5">
      <c r="A95" s="21" t="s">
        <v>373</v>
      </c>
      <c r="B95" s="21" t="s">
        <v>374</v>
      </c>
      <c r="C95" s="21" t="s">
        <v>401</v>
      </c>
      <c r="D95" s="21" t="s">
        <v>404</v>
      </c>
      <c r="E95" s="21" t="str">
        <f>_xlfn.CONCAT(Funcionários!B89)</f>
        <v>FRANK GONÇALVES</v>
      </c>
      <c r="F95" s="35" t="str">
        <f>_xlfn.CONCAT(Funcionários!C89)</f>
        <v>RELACIONAMENTO COM O CLIENTE</v>
      </c>
      <c r="G95" s="33"/>
      <c r="H95" s="37" t="s">
        <v>403</v>
      </c>
      <c r="I95" s="32"/>
      <c r="J95" s="32"/>
      <c r="K95" s="32"/>
    </row>
    <row r="96" spans="1:11" ht="19.5">
      <c r="A96" s="21" t="s">
        <v>373</v>
      </c>
      <c r="B96" s="21" t="s">
        <v>374</v>
      </c>
      <c r="C96" s="21" t="s">
        <v>401</v>
      </c>
      <c r="D96" s="21" t="s">
        <v>405</v>
      </c>
      <c r="E96" s="21" t="str">
        <f>_xlfn.CONCAT(Funcionários!B94)</f>
        <v>FAGNER GUSTAVO TOLEDO PEDROZO</v>
      </c>
      <c r="F96" s="21" t="str">
        <f>_xlfn.CONCAT(Funcionários!C94)</f>
        <v>RELACIONAMENTO COM O CLIENTE</v>
      </c>
      <c r="G96" s="33">
        <v>44916</v>
      </c>
      <c r="H96" s="37" t="s">
        <v>403</v>
      </c>
      <c r="I96" s="32"/>
      <c r="J96" s="32"/>
      <c r="K96" s="32"/>
    </row>
    <row r="97" spans="1:11" ht="19.5">
      <c r="A97" s="21" t="s">
        <v>373</v>
      </c>
      <c r="B97" s="21" t="s">
        <v>374</v>
      </c>
      <c r="C97" s="21" t="s">
        <v>401</v>
      </c>
      <c r="D97" s="21" t="s">
        <v>406</v>
      </c>
      <c r="E97" s="21" t="str">
        <f>_xlfn.CONCAT(Funcionários!B69)</f>
        <v>JONIEL CORREA DA SILVA</v>
      </c>
      <c r="F97" s="35" t="str">
        <f>_xlfn.CONCAT(Funcionários!C69)</f>
        <v>RELACIONAMENTO COM O CLIENTE</v>
      </c>
      <c r="G97" s="33">
        <v>44918</v>
      </c>
      <c r="H97" s="37" t="s">
        <v>403</v>
      </c>
      <c r="I97" s="32"/>
      <c r="J97" s="32"/>
      <c r="K97" s="32"/>
    </row>
    <row r="98" spans="1:11" ht="19.5">
      <c r="A98" s="21" t="s">
        <v>373</v>
      </c>
      <c r="B98" s="21" t="s">
        <v>374</v>
      </c>
      <c r="C98" s="21" t="s">
        <v>401</v>
      </c>
      <c r="D98" s="21" t="s">
        <v>407</v>
      </c>
      <c r="E98" s="21" t="str">
        <f>_xlfn.CONCAT(Funcionários!B90)</f>
        <v>VITOR PEREIRA DOS SANTOS</v>
      </c>
      <c r="F98" s="35" t="str">
        <f>_xlfn.CONCAT(Funcionários!C90)</f>
        <v>RELACIONAMENTO COM O CLIENTE</v>
      </c>
      <c r="G98" s="33">
        <v>44919</v>
      </c>
      <c r="H98" s="37" t="s">
        <v>403</v>
      </c>
      <c r="I98" s="32"/>
      <c r="J98" s="32"/>
      <c r="K98" s="32"/>
    </row>
    <row r="99" spans="1:11" ht="19.5">
      <c r="A99" s="21" t="s">
        <v>373</v>
      </c>
      <c r="B99" s="21" t="s">
        <v>374</v>
      </c>
      <c r="C99" s="21" t="s">
        <v>401</v>
      </c>
      <c r="D99" s="21" t="s">
        <v>408</v>
      </c>
      <c r="E99" s="21"/>
      <c r="F99" s="21"/>
      <c r="G99" s="33">
        <v>44902</v>
      </c>
      <c r="H99" s="37" t="s">
        <v>409</v>
      </c>
      <c r="I99" s="32"/>
      <c r="J99" s="32"/>
      <c r="K99" s="32"/>
    </row>
    <row r="100" spans="1:11" ht="19.5">
      <c r="A100" s="21" t="s">
        <v>373</v>
      </c>
      <c r="B100" s="21" t="s">
        <v>374</v>
      </c>
      <c r="C100" s="21" t="s">
        <v>392</v>
      </c>
      <c r="D100" s="21" t="s">
        <v>410</v>
      </c>
      <c r="E100" s="21" t="str">
        <f>_xlfn.CONCAT(Funcionários!B70)</f>
        <v>PABLO ANTONY DE LIMA</v>
      </c>
      <c r="F100" s="35" t="str">
        <f>_xlfn.CONCAT(Funcionários!C70)</f>
        <v>RELACIONAMENTO COM O CLIENTE</v>
      </c>
      <c r="G100" s="33">
        <v>45321</v>
      </c>
      <c r="H100" s="37"/>
      <c r="I100" s="32"/>
      <c r="J100" s="32"/>
      <c r="K100" s="32"/>
    </row>
    <row r="101" spans="1:11" ht="19.5">
      <c r="A101" s="21" t="s">
        <v>373</v>
      </c>
      <c r="B101" s="21" t="s">
        <v>374</v>
      </c>
      <c r="C101" s="21" t="s">
        <v>411</v>
      </c>
      <c r="D101" s="21" t="s">
        <v>412</v>
      </c>
      <c r="E101" s="21" t="str">
        <f>_xlfn.CONCAT(Funcionários!B41)</f>
        <v>KLEBER COELHO</v>
      </c>
      <c r="F101" s="35" t="str">
        <f>_xlfn.CONCAT(Funcionários!C41)</f>
        <v>INTELIGENCIA DE DADOS</v>
      </c>
      <c r="G101" s="33">
        <v>49178</v>
      </c>
      <c r="H101" s="37" t="s">
        <v>293</v>
      </c>
      <c r="I101" s="32"/>
      <c r="J101" s="32"/>
      <c r="K101" s="32"/>
    </row>
    <row r="102" spans="1:11" ht="19.5">
      <c r="A102" s="21" t="s">
        <v>373</v>
      </c>
      <c r="B102" s="21" t="s">
        <v>374</v>
      </c>
      <c r="C102" s="21" t="s">
        <v>411</v>
      </c>
      <c r="D102" s="21" t="s">
        <v>413</v>
      </c>
      <c r="E102" s="21" t="str">
        <f>_xlfn.CONCAT(Funcionários!B35)</f>
        <v>WILLIAN RIBEIRO DE SOUZA</v>
      </c>
      <c r="F102" s="35" t="str">
        <f>_xlfn.CONCAT(Funcionários!C35)</f>
        <v>GESTÃO DE FORNECEDORES</v>
      </c>
      <c r="G102" s="33">
        <v>49179</v>
      </c>
      <c r="H102" s="37" t="s">
        <v>293</v>
      </c>
      <c r="I102" s="32"/>
      <c r="J102" s="32"/>
      <c r="K102" s="32"/>
    </row>
    <row r="103" spans="1:11" ht="19.5">
      <c r="A103" s="21" t="s">
        <v>373</v>
      </c>
      <c r="B103" s="21" t="s">
        <v>374</v>
      </c>
      <c r="C103" s="21" t="s">
        <v>411</v>
      </c>
      <c r="D103" s="21" t="s">
        <v>414</v>
      </c>
      <c r="E103" s="21" t="str">
        <f>_xlfn.CONCAT(Funcionários!B13)</f>
        <v>JAKSON WEINGARTNER</v>
      </c>
      <c r="F103" s="35" t="str">
        <f>_xlfn.CONCAT(Funcionários!C13)</f>
        <v>INTELIGENCIA DE REDES</v>
      </c>
      <c r="G103" s="33">
        <v>49166</v>
      </c>
      <c r="H103" s="37" t="s">
        <v>293</v>
      </c>
      <c r="I103" s="32"/>
      <c r="J103" s="32"/>
      <c r="K103" s="32"/>
    </row>
    <row r="104" spans="1:11" ht="19.5">
      <c r="A104" s="21" t="s">
        <v>373</v>
      </c>
      <c r="B104" s="21" t="s">
        <v>374</v>
      </c>
      <c r="C104" s="21" t="s">
        <v>411</v>
      </c>
      <c r="D104" s="21" t="s">
        <v>415</v>
      </c>
      <c r="E104" s="21" t="str">
        <f>_xlfn.CONCAT(Funcionários!B40)</f>
        <v>ANA LUIZA MATTIA DE LIMA</v>
      </c>
      <c r="F104" s="35" t="str">
        <f>_xlfn.CONCAT(Setor!B11)</f>
        <v>INTELIGENCIA DE DADOS</v>
      </c>
      <c r="G104" s="33">
        <v>49167</v>
      </c>
      <c r="H104" s="66" t="s">
        <v>416</v>
      </c>
      <c r="I104" s="32"/>
      <c r="J104" s="32"/>
      <c r="K104" s="32"/>
    </row>
    <row r="105" spans="1:11" ht="19.5">
      <c r="A105" s="21" t="s">
        <v>373</v>
      </c>
      <c r="B105" s="21" t="s">
        <v>374</v>
      </c>
      <c r="C105" s="21" t="s">
        <v>411</v>
      </c>
      <c r="D105" s="21" t="s">
        <v>417</v>
      </c>
      <c r="E105" s="21"/>
      <c r="F105" s="35" t="str">
        <f>_xlfn.CONCAT(Funcionários!C27)</f>
        <v>COMERCIAL</v>
      </c>
      <c r="G105" s="33">
        <v>40392</v>
      </c>
      <c r="H105" s="37" t="s">
        <v>293</v>
      </c>
      <c r="I105" s="32"/>
      <c r="J105" s="32"/>
      <c r="K105" s="32"/>
    </row>
    <row r="106" spans="1:11" ht="19.5">
      <c r="A106" s="21" t="s">
        <v>373</v>
      </c>
      <c r="B106" s="21" t="s">
        <v>374</v>
      </c>
      <c r="C106" s="21" t="s">
        <v>418</v>
      </c>
      <c r="D106" s="21" t="s">
        <v>419</v>
      </c>
      <c r="E106" s="21" t="str">
        <f>_xlfn.CONCAT(Funcionários!B98)</f>
        <v>EMANUELA LEHMKUHL</v>
      </c>
      <c r="F106" s="35" t="str">
        <f>_xlfn.CONCAT(Setor!B5)</f>
        <v>RELACIONAMENTO COM O CLIENTE</v>
      </c>
      <c r="G106" s="33">
        <v>49174</v>
      </c>
      <c r="H106" s="37" t="s">
        <v>420</v>
      </c>
      <c r="I106" s="32"/>
      <c r="J106" s="32"/>
      <c r="K106" s="32"/>
    </row>
    <row r="107" spans="1:11" ht="19.5">
      <c r="A107" s="21" t="s">
        <v>373</v>
      </c>
      <c r="B107" s="21" t="s">
        <v>374</v>
      </c>
      <c r="C107" s="21" t="s">
        <v>418</v>
      </c>
      <c r="D107" s="21" t="s">
        <v>421</v>
      </c>
      <c r="E107" s="21" t="str">
        <f>_xlfn.CONCAT(Funcionários!B118)</f>
        <v>DAVI JOÃO DA SILVA</v>
      </c>
      <c r="F107" s="35" t="str">
        <f>_xlfn.CONCAT(Setor!B5)</f>
        <v>RELACIONAMENTO COM O CLIENTE</v>
      </c>
      <c r="G107" s="33">
        <v>49184</v>
      </c>
      <c r="H107" s="37" t="s">
        <v>422</v>
      </c>
      <c r="I107" s="32"/>
      <c r="J107" s="32"/>
      <c r="K107" s="32"/>
    </row>
    <row r="108" spans="1:11" ht="19.5">
      <c r="A108" s="21" t="s">
        <v>373</v>
      </c>
      <c r="B108" s="21" t="s">
        <v>374</v>
      </c>
      <c r="C108" s="21" t="s">
        <v>418</v>
      </c>
      <c r="D108" s="21" t="s">
        <v>423</v>
      </c>
      <c r="E108" s="21" t="str">
        <f>_xlfn.CONCAT(Funcionários!B154)</f>
        <v>KAUÃ DE OLIVEIRA DOURADO</v>
      </c>
      <c r="F108" s="21" t="str">
        <f>_xlfn.CONCAT(Funcionários!C154)</f>
        <v>RELACIONAMENTO COM O CLIENTE</v>
      </c>
      <c r="G108" s="33">
        <v>49190</v>
      </c>
      <c r="H108" s="37" t="s">
        <v>420</v>
      </c>
      <c r="I108" s="32"/>
      <c r="J108" s="32"/>
      <c r="K108" s="32"/>
    </row>
    <row r="109" spans="1:11" ht="19.5">
      <c r="A109" s="21" t="s">
        <v>373</v>
      </c>
      <c r="B109" s="21" t="s">
        <v>374</v>
      </c>
      <c r="C109" s="21" t="s">
        <v>418</v>
      </c>
      <c r="D109" s="21" t="s">
        <v>424</v>
      </c>
      <c r="E109" s="21"/>
      <c r="F109" s="35"/>
      <c r="G109" s="33">
        <v>49189</v>
      </c>
      <c r="H109" s="37" t="s">
        <v>425</v>
      </c>
      <c r="I109" s="32"/>
      <c r="J109" s="32"/>
      <c r="K109" s="32"/>
    </row>
    <row r="110" spans="1:11" ht="19.5">
      <c r="A110" s="21" t="s">
        <v>373</v>
      </c>
      <c r="B110" s="21" t="s">
        <v>374</v>
      </c>
      <c r="C110" s="21" t="s">
        <v>418</v>
      </c>
      <c r="D110" s="21" t="s">
        <v>426</v>
      </c>
      <c r="E110" s="21" t="s">
        <v>427</v>
      </c>
      <c r="F110" s="21" t="s">
        <v>427</v>
      </c>
      <c r="G110" s="33">
        <v>49188</v>
      </c>
      <c r="H110" s="37" t="s">
        <v>428</v>
      </c>
      <c r="I110" s="32"/>
      <c r="J110" s="32"/>
      <c r="K110" s="32"/>
    </row>
    <row r="111" spans="1:11" ht="19.5">
      <c r="A111" s="21" t="s">
        <v>373</v>
      </c>
      <c r="B111" s="21" t="s">
        <v>374</v>
      </c>
      <c r="C111" s="21" t="s">
        <v>429</v>
      </c>
      <c r="D111" s="21"/>
      <c r="E111" s="35" t="str">
        <f>_xlfn.CONCAT(Funcionários!B28)</f>
        <v>VANDERLEI MANENTTI SCOTT</v>
      </c>
      <c r="F111" s="35" t="str">
        <f>_xlfn.CONCAT(Funcionários!C28)</f>
        <v>CTO</v>
      </c>
      <c r="G111" s="33">
        <v>40238</v>
      </c>
      <c r="H111" s="37" t="s">
        <v>430</v>
      </c>
      <c r="I111" s="32"/>
      <c r="J111" s="32"/>
      <c r="K111" s="32"/>
    </row>
    <row r="112" spans="1:11" ht="19.5">
      <c r="A112" s="21" t="s">
        <v>373</v>
      </c>
      <c r="B112" s="21" t="s">
        <v>374</v>
      </c>
      <c r="C112" s="21" t="s">
        <v>385</v>
      </c>
      <c r="D112" s="21" t="s">
        <v>431</v>
      </c>
      <c r="E112" s="35" t="str">
        <f>_xlfn.CONCAT(Funcionários!B7)</f>
        <v>GUILHERME VASCONCELLOS BARDALHO</v>
      </c>
      <c r="F112" s="35" t="str">
        <f>_xlfn.CONCAT(Funcionários!C7)</f>
        <v>INTELIGENCIA DE REDES</v>
      </c>
      <c r="G112" s="33">
        <v>40351</v>
      </c>
      <c r="H112" s="37" t="s">
        <v>293</v>
      </c>
      <c r="I112" s="32"/>
      <c r="J112" s="32"/>
      <c r="K112" s="32"/>
    </row>
    <row r="113" spans="1:11" ht="19.5">
      <c r="A113" s="21" t="s">
        <v>373</v>
      </c>
      <c r="B113" s="21" t="s">
        <v>374</v>
      </c>
      <c r="C113" s="21" t="s">
        <v>432</v>
      </c>
      <c r="D113" s="21" t="s">
        <v>433</v>
      </c>
      <c r="E113" s="35" t="str">
        <f>_xlfn.CONCAT(Funcionários!B105)</f>
        <v>ANDERSON CARVALHO MADEIRA</v>
      </c>
      <c r="F113" s="35" t="str">
        <f>_xlfn.CONCAT(Funcionários!C105)</f>
        <v>INFRA</v>
      </c>
      <c r="G113" s="33">
        <v>42139</v>
      </c>
      <c r="H113" s="37" t="s">
        <v>434</v>
      </c>
      <c r="I113" s="32"/>
      <c r="J113" s="32"/>
      <c r="K113" s="32"/>
    </row>
    <row r="114" spans="1:11" ht="19.5">
      <c r="A114" s="21" t="s">
        <v>373</v>
      </c>
      <c r="B114" s="21" t="s">
        <v>374</v>
      </c>
      <c r="C114" s="21" t="s">
        <v>432</v>
      </c>
      <c r="D114" s="21" t="s">
        <v>435</v>
      </c>
      <c r="E114" s="35" t="str">
        <f>_xlfn.CONCAT(Funcionários!B104)</f>
        <v>MATHEUS EUGÊNIO DA SILVA</v>
      </c>
      <c r="F114" s="35" t="str">
        <f>_xlfn.CONCAT(Funcionários!C104)</f>
        <v>RELACIONAMENTO COM O CLIENTE</v>
      </c>
      <c r="G114" s="33">
        <v>42140</v>
      </c>
      <c r="H114" s="37" t="s">
        <v>436</v>
      </c>
      <c r="I114" s="32"/>
      <c r="J114" s="32"/>
      <c r="K114" s="32"/>
    </row>
    <row r="115" spans="1:11" ht="19.5">
      <c r="A115" s="21" t="s">
        <v>373</v>
      </c>
      <c r="B115" s="21" t="s">
        <v>374</v>
      </c>
      <c r="C115" s="21" t="s">
        <v>385</v>
      </c>
      <c r="D115" s="21" t="s">
        <v>437</v>
      </c>
      <c r="E115" s="35" t="str">
        <f>_xlfn.CONCAT(Funcionários!B21)</f>
        <v>MILENE CRISTINA DA SILVA</v>
      </c>
      <c r="F115" s="35" t="str">
        <f>_xlfn.CONCAT(Funcionários!C21)</f>
        <v>FINANCEIRO</v>
      </c>
      <c r="G115" s="33">
        <v>40387</v>
      </c>
      <c r="H115" s="37" t="s">
        <v>293</v>
      </c>
      <c r="I115" s="32"/>
      <c r="J115" s="32"/>
      <c r="K115" s="32"/>
    </row>
    <row r="116" spans="1:11" ht="19.5">
      <c r="A116" s="21" t="s">
        <v>373</v>
      </c>
      <c r="B116" s="21" t="s">
        <v>438</v>
      </c>
      <c r="C116" s="21" t="s">
        <v>439</v>
      </c>
      <c r="D116" s="21" t="s">
        <v>440</v>
      </c>
      <c r="E116" s="35" t="str">
        <f>_xlfn.CONCAT(Funcionários!B65)</f>
        <v>JAQUELINE FREITAS JACQUES</v>
      </c>
      <c r="F116" s="35" t="str">
        <f>_xlfn.CONCAT(Funcionários!C65)</f>
        <v>RELACIONAMENTO COM O CLIENTE</v>
      </c>
      <c r="G116" s="33">
        <v>43850</v>
      </c>
      <c r="H116" s="37" t="s">
        <v>441</v>
      </c>
      <c r="I116" s="32"/>
      <c r="J116" s="32"/>
      <c r="K116" s="32"/>
    </row>
    <row r="117" spans="1:11" ht="19.5">
      <c r="A117" s="21" t="s">
        <v>373</v>
      </c>
      <c r="B117" s="21" t="s">
        <v>438</v>
      </c>
      <c r="C117" s="21" t="s">
        <v>439</v>
      </c>
      <c r="D117" s="21" t="s">
        <v>442</v>
      </c>
      <c r="E117" s="35" t="str">
        <f>_xlfn.CONCAT(Funcionários!B54)</f>
        <v>GABRIEL DA SILVA DIAS</v>
      </c>
      <c r="F117" s="35" t="str">
        <f>_xlfn.CONCAT(Funcionários!C54)</f>
        <v>RELACIONAMENTO COM O CLIENTE</v>
      </c>
      <c r="G117" s="33">
        <v>43836</v>
      </c>
      <c r="H117" s="37" t="s">
        <v>293</v>
      </c>
      <c r="I117" s="32"/>
      <c r="J117" s="32"/>
      <c r="K117" s="32"/>
    </row>
    <row r="118" spans="1:11" ht="19.5">
      <c r="A118" s="21" t="s">
        <v>373</v>
      </c>
      <c r="B118" s="21" t="s">
        <v>438</v>
      </c>
      <c r="C118" s="21" t="s">
        <v>439</v>
      </c>
      <c r="D118" s="21" t="s">
        <v>443</v>
      </c>
      <c r="E118" s="35" t="str">
        <f>_xlfn.CONCAT(Funcionários!B36)</f>
        <v>AMANDA NEVES DE BARROS</v>
      </c>
      <c r="F118" s="35" t="str">
        <f>_xlfn.CONCAT(Funcionários!C36)</f>
        <v>RELACIONAMENTO COM O CLIENTE</v>
      </c>
      <c r="G118" s="33">
        <v>43839</v>
      </c>
      <c r="H118" s="37" t="s">
        <v>293</v>
      </c>
      <c r="I118" s="32"/>
      <c r="J118" s="32"/>
      <c r="K118" s="32"/>
    </row>
    <row r="119" spans="1:11" ht="19.5">
      <c r="A119" s="21" t="s">
        <v>373</v>
      </c>
      <c r="B119" s="21" t="s">
        <v>438</v>
      </c>
      <c r="C119" s="21" t="s">
        <v>439</v>
      </c>
      <c r="D119" s="21" t="s">
        <v>444</v>
      </c>
      <c r="E119" s="35" t="str">
        <f>_xlfn.CONCAT(Funcionários!B30)</f>
        <v>CAROLINE FOGAÇA DA ROCHA</v>
      </c>
      <c r="F119" s="35" t="str">
        <f>_xlfn.CONCAT(Funcionários!C30)</f>
        <v>EXPERIENCIA DAS PESSOAS</v>
      </c>
      <c r="G119" s="33">
        <v>42150</v>
      </c>
      <c r="H119" s="37" t="s">
        <v>293</v>
      </c>
      <c r="I119" s="32"/>
      <c r="J119" s="32"/>
      <c r="K119" s="32"/>
    </row>
    <row r="120" spans="1:11" ht="19.5">
      <c r="A120" s="21" t="s">
        <v>373</v>
      </c>
      <c r="B120" s="21" t="s">
        <v>438</v>
      </c>
      <c r="C120" s="21" t="s">
        <v>439</v>
      </c>
      <c r="D120" s="21" t="s">
        <v>445</v>
      </c>
      <c r="E120" s="35"/>
      <c r="F120" s="35"/>
      <c r="G120" s="33">
        <v>43838</v>
      </c>
      <c r="H120" s="37"/>
      <c r="I120" s="32"/>
      <c r="J120" s="32"/>
      <c r="K120" s="32"/>
    </row>
    <row r="121" spans="1:11" ht="19.5">
      <c r="A121" s="21" t="s">
        <v>373</v>
      </c>
      <c r="B121" s="21" t="s">
        <v>438</v>
      </c>
      <c r="C121" s="21" t="s">
        <v>439</v>
      </c>
      <c r="D121" s="21" t="s">
        <v>446</v>
      </c>
      <c r="E121" s="35" t="str">
        <f>_xlfn.CONCAT(Funcionários!B47)</f>
        <v>MANUELLA GUIMARÃES</v>
      </c>
      <c r="F121" s="35" t="str">
        <f>_xlfn.CONCAT(Funcionários!C47)</f>
        <v>RELACIONAMENTO COM O CLIENTE</v>
      </c>
      <c r="G121" s="33">
        <v>43845</v>
      </c>
      <c r="H121" s="37" t="s">
        <v>293</v>
      </c>
      <c r="I121" s="32"/>
      <c r="J121" s="32"/>
      <c r="K121" s="32"/>
    </row>
    <row r="122" spans="1:11" ht="19.5">
      <c r="A122" s="21" t="s">
        <v>373</v>
      </c>
      <c r="B122" s="21" t="s">
        <v>374</v>
      </c>
      <c r="C122" s="21" t="s">
        <v>411</v>
      </c>
      <c r="D122" s="21" t="s">
        <v>447</v>
      </c>
      <c r="E122" s="35" t="str">
        <f>_xlfn.CONCAT(Funcionários!B34)</f>
        <v>CAUAN SILVA DOS SANTOS</v>
      </c>
      <c r="F122" s="35" t="str">
        <f>_xlfn.CONCAT(Funcionários!C34)</f>
        <v>GESTÃO DE FORNECEDORES</v>
      </c>
      <c r="G122" s="33">
        <v>40390</v>
      </c>
      <c r="H122" s="37" t="s">
        <v>448</v>
      </c>
      <c r="I122" s="32"/>
      <c r="J122" s="32"/>
      <c r="K122" s="32"/>
    </row>
    <row r="123" spans="1:11" ht="19.5">
      <c r="A123" s="21" t="s">
        <v>373</v>
      </c>
      <c r="B123" s="21" t="s">
        <v>374</v>
      </c>
      <c r="C123" s="21" t="s">
        <v>449</v>
      </c>
      <c r="D123" s="21" t="s">
        <v>450</v>
      </c>
      <c r="E123" s="35" t="str">
        <f>_xlfn.CONCAT(Funcionários!B126)</f>
        <v>HAKEEN</v>
      </c>
      <c r="F123" s="35" t="str">
        <f>_xlfn.CONCAT(Setor!B12)</f>
        <v>EXPERIENCIA DAS PESSOAS</v>
      </c>
      <c r="G123" s="33">
        <v>28753</v>
      </c>
      <c r="H123" s="37" t="s">
        <v>451</v>
      </c>
      <c r="I123" s="32"/>
      <c r="J123" s="32"/>
      <c r="K123" s="32"/>
    </row>
    <row r="124" spans="1:11" ht="19.5">
      <c r="A124" s="21" t="s">
        <v>373</v>
      </c>
      <c r="B124" s="21" t="s">
        <v>374</v>
      </c>
      <c r="C124" s="21" t="s">
        <v>452</v>
      </c>
      <c r="D124" s="21" t="s">
        <v>453</v>
      </c>
      <c r="E124" s="35" t="str">
        <f>_xlfn.CONCAT(Funcionários!B71)</f>
        <v>RONALD VIEIRA DE OLIVEIRA</v>
      </c>
      <c r="F124" s="35" t="str">
        <f>_xlfn.CONCAT(Funcionários!C71)</f>
        <v>RELACIONAMENTO COM O CLIENTE</v>
      </c>
      <c r="G124" s="33">
        <v>40391</v>
      </c>
      <c r="H124" s="37" t="s">
        <v>454</v>
      </c>
      <c r="I124" s="32"/>
      <c r="J124" s="32"/>
      <c r="K124" s="32"/>
    </row>
    <row r="125" spans="1:11" ht="19.5">
      <c r="A125" s="21" t="s">
        <v>373</v>
      </c>
      <c r="B125" s="34" t="s">
        <v>374</v>
      </c>
      <c r="C125" s="34" t="s">
        <v>449</v>
      </c>
      <c r="D125" s="34" t="s">
        <v>455</v>
      </c>
      <c r="E125" s="34"/>
      <c r="F125" s="34"/>
      <c r="G125" s="33">
        <v>28752</v>
      </c>
      <c r="H125" s="37" t="s">
        <v>456</v>
      </c>
      <c r="I125" s="32"/>
      <c r="J125" s="32"/>
      <c r="K125" s="32"/>
    </row>
    <row r="126" spans="1:11" ht="19.5">
      <c r="A126" s="21" t="s">
        <v>373</v>
      </c>
      <c r="B126" s="21" t="s">
        <v>438</v>
      </c>
      <c r="C126" s="23" t="s">
        <v>457</v>
      </c>
      <c r="D126" s="21" t="s">
        <v>458</v>
      </c>
      <c r="E126" s="21" t="str">
        <f>_xlfn.CONCAT(Funcionários!B111)</f>
        <v>BRUNO CESAR CORDEIRO</v>
      </c>
      <c r="F126" s="21" t="s">
        <v>459</v>
      </c>
      <c r="G126" s="33">
        <v>27191</v>
      </c>
      <c r="H126" s="37"/>
      <c r="I126" s="32"/>
      <c r="J126" s="32"/>
      <c r="K126" s="32"/>
    </row>
    <row r="127" spans="1:11" ht="19.5">
      <c r="A127" s="21" t="s">
        <v>373</v>
      </c>
      <c r="B127" s="21" t="s">
        <v>374</v>
      </c>
      <c r="C127" s="21" t="s">
        <v>375</v>
      </c>
      <c r="D127" s="21"/>
      <c r="E127" s="21" t="str">
        <f>_xlfn.CONCAT(Funcionários!B37)</f>
        <v>ANA CAROLINA ALVES DAS CHAGAS</v>
      </c>
      <c r="F127" s="21" t="str">
        <f>_xlfn.CONCAT(Funcionários!C37)</f>
        <v>RELACIONAMENTO COM O CLIENTE</v>
      </c>
      <c r="G127" s="33">
        <v>5750</v>
      </c>
      <c r="H127" s="37" t="s">
        <v>460</v>
      </c>
      <c r="I127" s="32"/>
      <c r="J127" s="32"/>
      <c r="K127" s="32"/>
    </row>
    <row r="128" spans="1:11" ht="19.5">
      <c r="A128" s="21" t="s">
        <v>373</v>
      </c>
      <c r="B128" s="21" t="s">
        <v>374</v>
      </c>
      <c r="C128" s="21" t="s">
        <v>375</v>
      </c>
      <c r="D128" s="21"/>
      <c r="E128" s="21" t="s">
        <v>461</v>
      </c>
      <c r="F128" s="21" t="s">
        <v>462</v>
      </c>
      <c r="G128" s="33">
        <v>10964</v>
      </c>
      <c r="H128" s="37" t="s">
        <v>463</v>
      </c>
      <c r="I128" s="32"/>
      <c r="J128" s="32"/>
      <c r="K128" s="32"/>
    </row>
    <row r="129" spans="1:11" ht="19.5">
      <c r="A129" s="21" t="s">
        <v>373</v>
      </c>
      <c r="B129" s="21" t="s">
        <v>374</v>
      </c>
      <c r="C129" s="21" t="s">
        <v>449</v>
      </c>
      <c r="D129" s="21" t="s">
        <v>464</v>
      </c>
      <c r="E129" s="21" t="str">
        <f>_xlfn.CONCAT(Funcionários!B61)</f>
        <v>LETICIA DA SILVA FERRAZ</v>
      </c>
      <c r="F129" s="21" t="str">
        <f>_xlfn.CONCAT(Funcionários!C61)</f>
        <v>RELACIONAMENTO COM O CLIENTE</v>
      </c>
      <c r="G129" s="73">
        <v>49183</v>
      </c>
      <c r="H129" s="37" t="s">
        <v>465</v>
      </c>
      <c r="I129" s="32"/>
      <c r="J129" s="32"/>
      <c r="K129" s="32"/>
    </row>
    <row r="130" spans="1:11" ht="19.5">
      <c r="A130" s="21" t="s">
        <v>373</v>
      </c>
      <c r="B130" s="21" t="s">
        <v>374</v>
      </c>
      <c r="C130" s="21" t="s">
        <v>375</v>
      </c>
      <c r="D130" s="21" t="s">
        <v>466</v>
      </c>
      <c r="E130" s="21"/>
      <c r="F130" s="21"/>
      <c r="G130" s="33">
        <v>26042</v>
      </c>
      <c r="H130" s="37" t="s">
        <v>467</v>
      </c>
      <c r="I130" s="32"/>
      <c r="J130" s="32"/>
      <c r="K130" s="32"/>
    </row>
    <row r="131" spans="1:11" ht="19.5">
      <c r="A131" s="21" t="s">
        <v>373</v>
      </c>
      <c r="B131" s="21" t="s">
        <v>374</v>
      </c>
      <c r="C131" s="21" t="s">
        <v>375</v>
      </c>
      <c r="D131" s="21"/>
      <c r="E131" s="21" t="str">
        <f>_xlfn.CONCAT(Funcionários!B44)</f>
        <v>DAVI APPELT DE SÁ SARTORI</v>
      </c>
      <c r="F131" s="21" t="str">
        <f>_xlfn.CONCAT(Funcionários!C44)</f>
        <v>RELACIONAMENTO COM O CLIENTE</v>
      </c>
      <c r="G131" s="33">
        <v>10975</v>
      </c>
      <c r="H131" s="37" t="s">
        <v>468</v>
      </c>
      <c r="I131" s="32"/>
      <c r="J131" s="32"/>
      <c r="K131" s="32"/>
    </row>
    <row r="132" spans="1:11" ht="19.5">
      <c r="A132" s="21" t="s">
        <v>373</v>
      </c>
      <c r="B132" s="21" t="s">
        <v>374</v>
      </c>
      <c r="C132" s="21" t="s">
        <v>449</v>
      </c>
      <c r="D132" s="21" t="s">
        <v>469</v>
      </c>
      <c r="E132" s="21"/>
      <c r="F132" s="21" t="str">
        <f>_xlfn.CONCAT(Setor!B10)</f>
        <v>AGILIDADE</v>
      </c>
      <c r="G132" s="33">
        <v>26033</v>
      </c>
      <c r="H132" s="37"/>
      <c r="I132" s="32"/>
      <c r="J132" s="32"/>
      <c r="K132" s="32"/>
    </row>
    <row r="133" spans="1:11" ht="19.5">
      <c r="A133" s="21" t="s">
        <v>373</v>
      </c>
      <c r="B133" s="21" t="s">
        <v>374</v>
      </c>
      <c r="C133" s="21" t="s">
        <v>375</v>
      </c>
      <c r="D133" s="21" t="s">
        <v>470</v>
      </c>
      <c r="E133" s="21"/>
      <c r="F133" s="21"/>
      <c r="G133" s="33">
        <v>26035</v>
      </c>
      <c r="H133" s="37" t="s">
        <v>471</v>
      </c>
      <c r="I133" s="32"/>
      <c r="J133" s="32"/>
      <c r="K133" s="32"/>
    </row>
    <row r="134" spans="1:11" ht="19.5">
      <c r="A134" s="21" t="s">
        <v>373</v>
      </c>
      <c r="B134" s="21" t="s">
        <v>438</v>
      </c>
      <c r="C134" s="21" t="s">
        <v>457</v>
      </c>
      <c r="D134" s="21"/>
      <c r="E134" s="21"/>
      <c r="F134" s="21"/>
      <c r="G134" s="33">
        <v>27503</v>
      </c>
      <c r="H134" s="37"/>
      <c r="I134" s="32"/>
      <c r="J134" s="32"/>
      <c r="K134" s="32"/>
    </row>
    <row r="135" spans="1:11" ht="19.5">
      <c r="A135" s="21" t="s">
        <v>373</v>
      </c>
      <c r="B135" s="21" t="s">
        <v>438</v>
      </c>
      <c r="C135" s="21" t="s">
        <v>472</v>
      </c>
      <c r="D135" s="21" t="s">
        <v>473</v>
      </c>
      <c r="E135" s="21" t="str">
        <f>_xlfn.CONCAT(Funcionários!B135)</f>
        <v>PATRICIA EDUARDA RIBEIRO PAZ</v>
      </c>
      <c r="F135" s="21" t="str">
        <f>_xlfn.CONCAT(Funcionários!C135)</f>
        <v>RELACIONAMENTO COM O CLIENTE</v>
      </c>
      <c r="G135" s="73">
        <v>49193</v>
      </c>
      <c r="H135" s="37" t="s">
        <v>474</v>
      </c>
      <c r="I135" s="32"/>
      <c r="J135" s="32"/>
      <c r="K135" s="32"/>
    </row>
    <row r="136" spans="1:11" ht="19.5">
      <c r="A136" s="21" t="s">
        <v>373</v>
      </c>
      <c r="B136" s="21" t="s">
        <v>374</v>
      </c>
      <c r="C136" s="21" t="s">
        <v>475</v>
      </c>
      <c r="D136" s="21" t="s">
        <v>476</v>
      </c>
      <c r="E136" s="21" t="s">
        <v>477</v>
      </c>
      <c r="F136" s="21" t="s">
        <v>478</v>
      </c>
      <c r="G136" s="33">
        <v>6728</v>
      </c>
      <c r="H136" s="37" t="s">
        <v>479</v>
      </c>
      <c r="I136" s="32"/>
      <c r="J136" s="32"/>
      <c r="K136" s="32"/>
    </row>
    <row r="137" spans="1:11" ht="19.5">
      <c r="A137" s="21" t="s">
        <v>373</v>
      </c>
      <c r="B137" s="21" t="s">
        <v>374</v>
      </c>
      <c r="C137" s="21" t="s">
        <v>375</v>
      </c>
      <c r="D137" s="21"/>
      <c r="E137" s="21"/>
      <c r="F137" s="21"/>
      <c r="G137" s="33">
        <v>28153</v>
      </c>
      <c r="H137" s="37"/>
      <c r="I137" s="32"/>
      <c r="J137" s="32"/>
      <c r="K137" s="32"/>
    </row>
    <row r="138" spans="1:11" ht="19.5">
      <c r="A138" s="21" t="s">
        <v>373</v>
      </c>
      <c r="B138" s="21" t="s">
        <v>374</v>
      </c>
      <c r="C138" s="21" t="s">
        <v>375</v>
      </c>
      <c r="D138" s="21"/>
      <c r="E138" s="21"/>
      <c r="F138" s="21"/>
      <c r="G138" s="33">
        <v>8750</v>
      </c>
      <c r="H138" s="37"/>
      <c r="I138" s="32"/>
      <c r="J138" s="32"/>
      <c r="K138" s="32"/>
    </row>
    <row r="139" spans="1:11" ht="19.5">
      <c r="A139" s="21" t="s">
        <v>373</v>
      </c>
      <c r="B139" s="21" t="s">
        <v>211</v>
      </c>
      <c r="C139" s="21" t="s">
        <v>480</v>
      </c>
      <c r="D139" s="21" t="s">
        <v>481</v>
      </c>
      <c r="E139" s="21" t="s">
        <v>482</v>
      </c>
      <c r="F139" s="21" t="str">
        <f>_xlfn.CONCAT(Setor!B5)</f>
        <v>RELACIONAMENTO COM O CLIENTE</v>
      </c>
      <c r="G139" s="33">
        <v>28156</v>
      </c>
      <c r="H139" s="37" t="s">
        <v>483</v>
      </c>
      <c r="I139" s="32"/>
      <c r="J139" s="32"/>
      <c r="K139" s="32"/>
    </row>
    <row r="140" spans="1:11" ht="19.5">
      <c r="A140" s="21" t="s">
        <v>373</v>
      </c>
      <c r="B140" s="21" t="s">
        <v>374</v>
      </c>
      <c r="C140" s="21" t="s">
        <v>375</v>
      </c>
      <c r="D140" s="21"/>
      <c r="E140" s="21" t="str">
        <f>_xlfn.CONCAT(Funcionários!B101)</f>
        <v>TAINA TEIXEIRA DE FREITAS</v>
      </c>
      <c r="F140" s="21" t="str">
        <f>_xlfn.CONCAT(Setor!B5)</f>
        <v>RELACIONAMENTO COM O CLIENTE</v>
      </c>
      <c r="G140" s="33">
        <v>8748</v>
      </c>
      <c r="H140" s="37" t="s">
        <v>484</v>
      </c>
      <c r="I140" s="32"/>
      <c r="J140" s="32"/>
      <c r="K140" s="32"/>
    </row>
    <row r="141" spans="1:11" ht="19.5">
      <c r="A141" s="21" t="s">
        <v>373</v>
      </c>
      <c r="B141" s="21" t="s">
        <v>438</v>
      </c>
      <c r="C141" s="21" t="s">
        <v>485</v>
      </c>
      <c r="D141" s="21" t="s">
        <v>486</v>
      </c>
      <c r="E141" s="21" t="str">
        <f>_xlfn.CONCAT(Funcionários!B11)</f>
        <v>ISRAEL FELIX</v>
      </c>
      <c r="F141" s="21" t="str">
        <f>_xlfn.CONCAT(Funcionários!C11)</f>
        <v>MARKETING</v>
      </c>
      <c r="G141" s="33">
        <v>28172</v>
      </c>
      <c r="H141" s="37"/>
      <c r="I141" s="32"/>
      <c r="J141" s="32"/>
      <c r="K141" s="32"/>
    </row>
    <row r="142" spans="1:11" ht="19.5">
      <c r="A142" s="21" t="s">
        <v>373</v>
      </c>
      <c r="B142" s="21" t="s">
        <v>374</v>
      </c>
      <c r="C142" s="21" t="s">
        <v>375</v>
      </c>
      <c r="D142" s="21"/>
      <c r="E142" s="21" t="s">
        <v>186</v>
      </c>
      <c r="F142" s="21"/>
      <c r="G142" s="33">
        <v>28190</v>
      </c>
      <c r="H142" s="37"/>
      <c r="I142" s="32"/>
      <c r="J142" s="32"/>
      <c r="K142" s="32"/>
    </row>
    <row r="143" spans="1:11" ht="19.5">
      <c r="A143" s="21" t="s">
        <v>373</v>
      </c>
      <c r="B143" s="21" t="s">
        <v>374</v>
      </c>
      <c r="C143" s="21" t="s">
        <v>375</v>
      </c>
      <c r="D143" s="21"/>
      <c r="E143" s="21"/>
      <c r="F143" s="21"/>
      <c r="G143" s="33">
        <v>8749</v>
      </c>
      <c r="H143" s="37"/>
      <c r="I143" s="32"/>
      <c r="J143" s="32"/>
      <c r="K143" s="32"/>
    </row>
    <row r="144" spans="1:11" ht="19.5">
      <c r="A144" s="21" t="s">
        <v>373</v>
      </c>
      <c r="B144" s="21" t="s">
        <v>211</v>
      </c>
      <c r="C144" s="21" t="s">
        <v>480</v>
      </c>
      <c r="D144" s="21"/>
      <c r="E144" s="21" t="str">
        <f>_xlfn.CONCAT(Funcionários!B120)</f>
        <v>JOÃO VICTOR MUNIZ DA SILVA</v>
      </c>
      <c r="F144" s="21" t="str">
        <f>_xlfn.CONCAT(Setor!B5)</f>
        <v>RELACIONAMENTO COM O CLIENTE</v>
      </c>
      <c r="G144" s="33">
        <v>28755</v>
      </c>
      <c r="H144" s="37"/>
      <c r="I144" s="32"/>
      <c r="J144" s="32"/>
      <c r="K144" s="32"/>
    </row>
    <row r="145" spans="1:11" ht="19.5">
      <c r="A145" s="21" t="s">
        <v>373</v>
      </c>
      <c r="B145" s="21" t="s">
        <v>374</v>
      </c>
      <c r="C145" s="21" t="s">
        <v>375</v>
      </c>
      <c r="D145" s="21" t="s">
        <v>487</v>
      </c>
      <c r="E145" s="21"/>
      <c r="F145" s="21"/>
      <c r="G145" s="33">
        <v>6165</v>
      </c>
      <c r="H145" s="37" t="s">
        <v>488</v>
      </c>
      <c r="I145" s="32"/>
      <c r="J145" s="32"/>
      <c r="K145" s="32"/>
    </row>
    <row r="146" spans="1:11" ht="19.5">
      <c r="A146" s="21" t="s">
        <v>373</v>
      </c>
      <c r="B146" s="21" t="s">
        <v>438</v>
      </c>
      <c r="C146" s="21" t="s">
        <v>457</v>
      </c>
      <c r="D146" s="21"/>
      <c r="E146" s="21"/>
      <c r="F146" s="21"/>
      <c r="G146" s="33">
        <v>28769</v>
      </c>
      <c r="H146" s="37" t="s">
        <v>489</v>
      </c>
      <c r="I146" s="32"/>
      <c r="J146" s="32"/>
      <c r="K146" s="32"/>
    </row>
    <row r="147" spans="1:11" ht="19.5">
      <c r="A147" s="21" t="s">
        <v>373</v>
      </c>
      <c r="B147" s="21" t="s">
        <v>374</v>
      </c>
      <c r="C147" s="21" t="s">
        <v>375</v>
      </c>
      <c r="D147" s="21" t="s">
        <v>466</v>
      </c>
      <c r="E147" s="21"/>
      <c r="F147" s="21"/>
      <c r="G147" s="33">
        <v>10974</v>
      </c>
      <c r="H147" s="37" t="s">
        <v>490</v>
      </c>
      <c r="I147" s="32"/>
      <c r="J147" s="32"/>
      <c r="K147" s="32"/>
    </row>
    <row r="148" spans="1:11" ht="19.5">
      <c r="A148" s="21" t="s">
        <v>373</v>
      </c>
      <c r="B148" s="21" t="s">
        <v>374</v>
      </c>
      <c r="C148" s="21" t="s">
        <v>491</v>
      </c>
      <c r="D148" s="21" t="s">
        <v>492</v>
      </c>
      <c r="E148" s="21" t="str">
        <f>_xlfn.CONCAT(Funcionários!B83)</f>
        <v>ANDERSON INGLES CABRAL DA SILVEIRA</v>
      </c>
      <c r="F148" s="21" t="str">
        <f>_xlfn.CONCAT(Funcionários!C83)</f>
        <v>INFRA</v>
      </c>
      <c r="G148" s="33">
        <v>28784</v>
      </c>
      <c r="H148" s="37"/>
      <c r="I148" s="32"/>
      <c r="J148" s="32"/>
      <c r="K148" s="32"/>
    </row>
    <row r="149" spans="1:11" ht="19.5">
      <c r="A149" s="21" t="s">
        <v>373</v>
      </c>
      <c r="B149" s="21" t="s">
        <v>374</v>
      </c>
      <c r="C149" s="21" t="s">
        <v>449</v>
      </c>
      <c r="D149" s="21" t="s">
        <v>493</v>
      </c>
      <c r="E149" s="21" t="str">
        <f>_xlfn.CONCAT(Funcionários!B76)</f>
        <v>RUTH MARTINS</v>
      </c>
      <c r="F149" s="21" t="str">
        <f>_xlfn.CONCAT(Funcionários!C76)</f>
        <v>FINANCEIRO</v>
      </c>
      <c r="G149" s="33">
        <v>28796</v>
      </c>
      <c r="H149" s="37"/>
      <c r="I149" s="32"/>
      <c r="J149" s="32"/>
      <c r="K149" s="32"/>
    </row>
    <row r="150" spans="1:11" ht="19.5">
      <c r="A150" s="21" t="s">
        <v>373</v>
      </c>
      <c r="B150" s="21" t="s">
        <v>374</v>
      </c>
      <c r="C150" s="21" t="s">
        <v>449</v>
      </c>
      <c r="D150" s="21" t="s">
        <v>494</v>
      </c>
      <c r="E150" s="21" t="str">
        <f>_xlfn.CONCAT(Funcionários!B55)</f>
        <v>LUIS GABRIEL RIBEIRO ARIAS</v>
      </c>
      <c r="F150" s="21" t="str">
        <f>_xlfn.CONCAT(Setor!B5)</f>
        <v>RELACIONAMENTO COM O CLIENTE</v>
      </c>
      <c r="G150" s="33">
        <v>28781</v>
      </c>
      <c r="H150" s="37" t="s">
        <v>495</v>
      </c>
      <c r="I150" s="32"/>
      <c r="J150" s="32"/>
      <c r="K150" s="32"/>
    </row>
    <row r="151" spans="1:11" ht="19.5">
      <c r="A151" s="21" t="s">
        <v>373</v>
      </c>
      <c r="B151" s="21" t="s">
        <v>374</v>
      </c>
      <c r="C151" s="21" t="s">
        <v>449</v>
      </c>
      <c r="D151" s="21" t="s">
        <v>496</v>
      </c>
      <c r="E151" s="21" t="str">
        <f>_xlfn.CONCAT(Funcionários!B49)</f>
        <v>EDUARDA VIEIRA</v>
      </c>
      <c r="F151" s="21" t="str">
        <f>_xlfn.CONCAT(Funcionários!C49)</f>
        <v>RELACIONAMENTO COM O CLIENTE</v>
      </c>
      <c r="G151" s="33">
        <v>28794</v>
      </c>
      <c r="H151" s="37" t="s">
        <v>497</v>
      </c>
      <c r="I151" s="32"/>
      <c r="J151" s="32"/>
      <c r="K151" s="32"/>
    </row>
    <row r="152" spans="1:11" ht="18" customHeight="1">
      <c r="A152" s="21" t="s">
        <v>373</v>
      </c>
      <c r="B152" s="21" t="s">
        <v>374</v>
      </c>
      <c r="C152" s="21" t="s">
        <v>449</v>
      </c>
      <c r="D152" s="21" t="s">
        <v>498</v>
      </c>
      <c r="E152" s="21" t="str">
        <f>_xlfn.CONCAT(Funcionários!B12)</f>
        <v>CAIO EDUARDO SIQUEIRA DA SILVA</v>
      </c>
      <c r="F152" s="86">
        <v>45821</v>
      </c>
      <c r="G152" s="33">
        <v>28782</v>
      </c>
      <c r="H152" s="37"/>
      <c r="I152" s="32"/>
      <c r="J152" s="32"/>
      <c r="K152" s="32"/>
    </row>
    <row r="153" spans="1:11" ht="19.5">
      <c r="A153" s="21" t="s">
        <v>373</v>
      </c>
      <c r="B153" s="21" t="s">
        <v>374</v>
      </c>
      <c r="C153" s="21" t="s">
        <v>449</v>
      </c>
      <c r="D153" s="21" t="s">
        <v>499</v>
      </c>
      <c r="E153" s="21" t="str">
        <f>_xlfn.CONCAT(Funcionários!B24)</f>
        <v>VITOR ADRIANO COELHO</v>
      </c>
      <c r="F153" s="21" t="str">
        <f>_xlfn.CONCAT(Funcionários!C24)</f>
        <v>COMERCIAL</v>
      </c>
      <c r="G153" s="33">
        <v>28783</v>
      </c>
      <c r="H153" s="37" t="s">
        <v>500</v>
      </c>
      <c r="I153" s="32"/>
      <c r="J153" s="32"/>
      <c r="K153" s="32"/>
    </row>
    <row r="154" spans="1:11" ht="19.5">
      <c r="A154" s="21" t="s">
        <v>373</v>
      </c>
      <c r="B154" s="21" t="s">
        <v>374</v>
      </c>
      <c r="C154" s="21" t="s">
        <v>449</v>
      </c>
      <c r="D154" s="21" t="s">
        <v>501</v>
      </c>
      <c r="E154" s="21"/>
      <c r="F154" s="21"/>
      <c r="G154" s="33">
        <v>28778</v>
      </c>
      <c r="H154" s="37" t="s">
        <v>502</v>
      </c>
      <c r="I154" s="32"/>
      <c r="J154" s="32"/>
      <c r="K154" s="32"/>
    </row>
    <row r="155" spans="1:11" ht="19.5">
      <c r="A155" s="21" t="s">
        <v>373</v>
      </c>
      <c r="B155" s="21" t="s">
        <v>374</v>
      </c>
      <c r="C155" s="21" t="s">
        <v>503</v>
      </c>
      <c r="D155" s="21" t="s">
        <v>504</v>
      </c>
      <c r="E155" s="21" t="str">
        <f>_xlfn.CONCAT(Funcionários!B127)</f>
        <v>GABRIEL LOPES GONÇALVES</v>
      </c>
      <c r="F155" s="21" t="str">
        <f>_xlfn.CONCAT(Funcionários!C127)</f>
        <v>RELACIONAMENTO COM O CLIENTE</v>
      </c>
      <c r="G155" s="33">
        <v>29753</v>
      </c>
      <c r="H155" s="37"/>
      <c r="I155" s="32"/>
      <c r="J155" s="32"/>
      <c r="K155" s="32"/>
    </row>
    <row r="156" spans="1:11" ht="19.5">
      <c r="A156" s="21" t="s">
        <v>373</v>
      </c>
      <c r="B156" s="21" t="s">
        <v>374</v>
      </c>
      <c r="C156" s="21" t="s">
        <v>449</v>
      </c>
      <c r="D156" s="21" t="s">
        <v>505</v>
      </c>
      <c r="E156" s="21" t="str">
        <f>_xlfn.CONCAT(Funcionários!B25)</f>
        <v>MIHAY FERREIRA</v>
      </c>
      <c r="F156" s="21" t="str">
        <f>_xlfn.CONCAT(Funcionários!C25)</f>
        <v>COMERCIAL</v>
      </c>
      <c r="G156" s="33">
        <v>29752</v>
      </c>
      <c r="H156" s="37" t="s">
        <v>506</v>
      </c>
      <c r="I156" s="32"/>
      <c r="J156" s="32"/>
      <c r="K156" s="32"/>
    </row>
    <row r="157" spans="1:11" ht="19.5">
      <c r="A157" s="21" t="s">
        <v>373</v>
      </c>
      <c r="B157" s="21" t="s">
        <v>438</v>
      </c>
      <c r="C157" s="21" t="s">
        <v>507</v>
      </c>
      <c r="D157" s="21" t="s">
        <v>508</v>
      </c>
      <c r="E157" s="21"/>
      <c r="F157" s="21"/>
      <c r="G157" s="33">
        <v>30570</v>
      </c>
      <c r="H157" s="37" t="s">
        <v>509</v>
      </c>
      <c r="I157" s="32"/>
      <c r="J157" s="32"/>
      <c r="K157" s="32"/>
    </row>
    <row r="158" spans="1:11" ht="19.5">
      <c r="A158" s="21" t="s">
        <v>373</v>
      </c>
      <c r="B158" s="21" t="s">
        <v>374</v>
      </c>
      <c r="C158" s="21" t="s">
        <v>449</v>
      </c>
      <c r="D158" s="21" t="s">
        <v>510</v>
      </c>
      <c r="E158" s="21" t="str">
        <f>_xlfn.CONCAT(Funcionários!B31)</f>
        <v>LETICIA EMANUELE DE OLIVEIRA</v>
      </c>
      <c r="F158" s="21" t="str">
        <f>_xlfn.CONCAT(Setor!B12)</f>
        <v>EXPERIENCIA DAS PESSOAS</v>
      </c>
      <c r="G158" s="33">
        <v>30740</v>
      </c>
      <c r="H158" s="37" t="s">
        <v>511</v>
      </c>
      <c r="I158" s="32"/>
      <c r="J158" s="32"/>
      <c r="K158" s="32"/>
    </row>
    <row r="159" spans="1:11" ht="19.5">
      <c r="A159" s="21" t="s">
        <v>373</v>
      </c>
      <c r="B159" s="21" t="s">
        <v>374</v>
      </c>
      <c r="C159" s="21" t="s">
        <v>449</v>
      </c>
      <c r="D159" s="21" t="s">
        <v>512</v>
      </c>
      <c r="E159" s="21" t="str">
        <f>_xlfn.CONCAT(Funcionários!B77)</f>
        <v>BRUNA FERNANDES MAI</v>
      </c>
      <c r="F159" s="21" t="str">
        <f>_xlfn.CONCAT(Setor!B16)</f>
        <v>DIRETORIA</v>
      </c>
      <c r="G159" s="33">
        <v>30571</v>
      </c>
      <c r="H159" s="37" t="s">
        <v>511</v>
      </c>
      <c r="I159" s="32"/>
      <c r="J159" s="32"/>
      <c r="K159" s="32"/>
    </row>
    <row r="160" spans="1:11" ht="19.5">
      <c r="A160" s="21" t="s">
        <v>373</v>
      </c>
      <c r="B160" s="21" t="s">
        <v>438</v>
      </c>
      <c r="C160" s="21" t="s">
        <v>513</v>
      </c>
      <c r="D160" s="21" t="s">
        <v>514</v>
      </c>
      <c r="E160" s="21" t="str">
        <f>_xlfn.CONCAT(Funcionários!B30)</f>
        <v>CAROLINE FOGAÇA DA ROCHA</v>
      </c>
      <c r="F160" s="21" t="str">
        <f>_xlfn.CONCAT(Funcionários!C30)</f>
        <v>EXPERIENCIA DAS PESSOAS</v>
      </c>
      <c r="G160" s="33">
        <v>31866</v>
      </c>
      <c r="H160" s="37" t="s">
        <v>515</v>
      </c>
      <c r="I160" s="32"/>
      <c r="J160" s="32"/>
      <c r="K160" s="32"/>
    </row>
    <row r="161" spans="1:11" ht="19.5">
      <c r="A161" s="21" t="s">
        <v>373</v>
      </c>
      <c r="B161" s="21" t="s">
        <v>438</v>
      </c>
      <c r="C161" s="21" t="s">
        <v>516</v>
      </c>
      <c r="D161" s="21" t="s">
        <v>517</v>
      </c>
      <c r="E161" s="21" t="str">
        <f>_xlfn.CONCAT(Funcionários!B138)</f>
        <v xml:space="preserve"> MURYEL DA SILVA MOREIRA DIAS</v>
      </c>
      <c r="F161" s="21" t="str">
        <f>_xlfn.CONCAT(Funcionários!C138)</f>
        <v>RELACIONAMENTO COM O CLIENTE</v>
      </c>
      <c r="G161" s="33">
        <v>31853</v>
      </c>
      <c r="H161" s="37" t="s">
        <v>518</v>
      </c>
      <c r="I161" s="32"/>
      <c r="J161" s="32"/>
      <c r="K161" s="32"/>
    </row>
    <row r="162" spans="1:11" ht="19.5">
      <c r="A162" s="21" t="s">
        <v>373</v>
      </c>
      <c r="B162" s="21" t="s">
        <v>438</v>
      </c>
      <c r="C162" s="21" t="s">
        <v>519</v>
      </c>
      <c r="D162" s="21" t="s">
        <v>520</v>
      </c>
      <c r="E162" s="21" t="str">
        <f>_xlfn.CONCAT(Funcionários!B143)</f>
        <v>BRENDA CRISTIANE SOARES</v>
      </c>
      <c r="F162" s="21" t="str">
        <f>_xlfn.CONCAT(Funcionários!C143)</f>
        <v>RELACIONAMENTO COM O CLIENTE</v>
      </c>
      <c r="G162" s="33">
        <v>31875</v>
      </c>
      <c r="H162" s="37" t="s">
        <v>521</v>
      </c>
      <c r="I162" s="32"/>
      <c r="J162" s="32"/>
      <c r="K162" s="32"/>
    </row>
    <row r="163" spans="1:11" ht="19.5">
      <c r="A163" s="21" t="s">
        <v>373</v>
      </c>
      <c r="B163" s="21" t="s">
        <v>374</v>
      </c>
      <c r="C163" s="21" t="s">
        <v>522</v>
      </c>
      <c r="D163" s="21" t="s">
        <v>523</v>
      </c>
      <c r="E163" s="21" t="str">
        <f>_xlfn.CONCAT(Funcionários!B53)</f>
        <v>FILIPE EDUARDO DE MEDEIROS</v>
      </c>
      <c r="F163" s="21" t="str">
        <f>_xlfn.CONCAT(Funcionários!C53)</f>
        <v>INTELIGENCIA DE REDES</v>
      </c>
      <c r="G163" s="33">
        <v>31876</v>
      </c>
      <c r="H163" s="65" t="s">
        <v>524</v>
      </c>
      <c r="I163" s="32"/>
      <c r="J163" s="32"/>
      <c r="K163" s="32"/>
    </row>
    <row r="164" spans="1:11" ht="19.5">
      <c r="A164" s="21" t="s">
        <v>373</v>
      </c>
      <c r="B164" s="21" t="s">
        <v>374</v>
      </c>
      <c r="C164" s="21" t="s">
        <v>522</v>
      </c>
      <c r="D164" s="21" t="s">
        <v>523</v>
      </c>
      <c r="E164" s="21" t="str">
        <f>_xlfn.CONCAT(Funcionários!B9)</f>
        <v>LUIZA CUNHA SENA</v>
      </c>
      <c r="F164" s="21" t="str">
        <f>_xlfn.CONCAT(Funcionários!C9)</f>
        <v>AGILIDADE</v>
      </c>
      <c r="G164" s="33">
        <v>31874</v>
      </c>
      <c r="H164" s="65" t="s">
        <v>525</v>
      </c>
      <c r="I164" s="32"/>
      <c r="J164" s="32"/>
      <c r="K164" s="32"/>
    </row>
    <row r="165" spans="1:11" ht="19.5">
      <c r="A165" s="21" t="s">
        <v>373</v>
      </c>
      <c r="B165" s="21" t="s">
        <v>374</v>
      </c>
      <c r="C165" s="21" t="s">
        <v>522</v>
      </c>
      <c r="D165" s="21" t="s">
        <v>523</v>
      </c>
      <c r="E165" s="21" t="str">
        <f>_xlfn.CONCAT(Funcionários!B147)</f>
        <v>CRISTIANE SOARES</v>
      </c>
      <c r="F165" s="21" t="str">
        <f>_xlfn.CONCAT(Funcionários!C147)</f>
        <v>AGILIDADE</v>
      </c>
      <c r="G165" s="33">
        <v>31895</v>
      </c>
      <c r="H165" s="65" t="s">
        <v>526</v>
      </c>
      <c r="I165" s="32"/>
      <c r="J165" s="32"/>
      <c r="K165" s="32"/>
    </row>
    <row r="166" spans="1:11" ht="19.5">
      <c r="A166" s="21" t="s">
        <v>373</v>
      </c>
      <c r="B166" s="21" t="s">
        <v>374</v>
      </c>
      <c r="C166" s="21" t="s">
        <v>522</v>
      </c>
      <c r="D166" s="21" t="s">
        <v>523</v>
      </c>
      <c r="E166" s="21" t="str">
        <f>_xlfn.CONCAT(Funcionários!B32)</f>
        <v>ANTONIO JOAO MARCELINO</v>
      </c>
      <c r="F166" s="21" t="str">
        <f>_xlfn.CONCAT(Funcionários!C32)</f>
        <v>GESTÃO DE FORNECEDORES</v>
      </c>
      <c r="G166" s="33">
        <v>33989</v>
      </c>
      <c r="H166" s="65" t="s">
        <v>526</v>
      </c>
      <c r="I166" s="32"/>
      <c r="J166" s="32"/>
      <c r="K166" s="32"/>
    </row>
    <row r="167" spans="1:11" ht="19.5">
      <c r="A167" s="21" t="s">
        <v>373</v>
      </c>
      <c r="B167" s="21" t="s">
        <v>527</v>
      </c>
      <c r="C167" s="21" t="s">
        <v>528</v>
      </c>
      <c r="D167" s="21"/>
      <c r="E167" s="21" t="str">
        <f>_xlfn.CONCAT(Funcionários!B6)</f>
        <v>FELIPE FOLSTER</v>
      </c>
      <c r="F167" s="21" t="str">
        <f>_xlfn.CONCAT(Funcionários!C5)</f>
        <v>INTELIGENCIA DE REDES</v>
      </c>
      <c r="G167" s="33">
        <v>31881</v>
      </c>
      <c r="H167" s="65"/>
      <c r="I167" s="32"/>
      <c r="J167" s="32"/>
      <c r="K167" s="32"/>
    </row>
    <row r="168" spans="1:11" ht="19.5">
      <c r="A168" s="21" t="s">
        <v>373</v>
      </c>
      <c r="B168" s="21" t="s">
        <v>374</v>
      </c>
      <c r="C168" s="21" t="s">
        <v>522</v>
      </c>
      <c r="D168" s="21" t="s">
        <v>523</v>
      </c>
      <c r="E168" s="21" t="str">
        <f>_xlfn.CONCAT(Funcionários!B148)</f>
        <v>RAFAELA DILL DA SILVA</v>
      </c>
      <c r="F168" s="21" t="str">
        <f>_xlfn.CONCAT(Funcionários!C148)</f>
        <v>RELACIONAMENTO COM O CLIENTE</v>
      </c>
      <c r="G168" s="33">
        <v>31863</v>
      </c>
      <c r="H168" s="65" t="s">
        <v>529</v>
      </c>
      <c r="I168" s="32"/>
      <c r="J168" s="32"/>
      <c r="K168" s="32"/>
    </row>
    <row r="169" spans="1:11" ht="19.5">
      <c r="A169" s="21" t="s">
        <v>373</v>
      </c>
      <c r="B169" s="21" t="s">
        <v>374</v>
      </c>
      <c r="C169" s="21" t="s">
        <v>530</v>
      </c>
      <c r="D169" s="21" t="s">
        <v>531</v>
      </c>
      <c r="E169" s="21" t="str">
        <f>_xlfn.CONCAT(Funcionários!B60)</f>
        <v>JULIO CESAR DA SILVA AGOSTINHO</v>
      </c>
      <c r="F169" s="21" t="str">
        <f>_xlfn.CONCAT(Funcionários!C60)</f>
        <v>RELACIONAMENTO COM O CLIENTE</v>
      </c>
      <c r="G169" s="33">
        <v>45320</v>
      </c>
      <c r="H169" s="37" t="s">
        <v>532</v>
      </c>
      <c r="I169" s="32"/>
      <c r="J169" s="32"/>
      <c r="K169" s="32"/>
    </row>
    <row r="170" spans="1:11" ht="19.5">
      <c r="A170" s="21" t="s">
        <v>373</v>
      </c>
      <c r="B170" s="21" t="s">
        <v>374</v>
      </c>
      <c r="C170" s="21" t="s">
        <v>533</v>
      </c>
      <c r="D170" s="21"/>
      <c r="E170" s="21" t="str">
        <f>_xlfn.CONCAT(Funcionários!B18)</f>
        <v>LUANA BORGES BATISTA</v>
      </c>
      <c r="F170" s="21" t="str">
        <f>_xlfn.CONCAT(Funcionários!C18)</f>
        <v>FINANCEIRO</v>
      </c>
      <c r="G170" s="33">
        <v>49200</v>
      </c>
      <c r="H170" s="37" t="s">
        <v>293</v>
      </c>
      <c r="I170" s="32"/>
      <c r="J170" s="32"/>
      <c r="K170" s="32"/>
    </row>
    <row r="171" spans="1:11" ht="19.5">
      <c r="A171" s="21" t="s">
        <v>373</v>
      </c>
      <c r="B171" s="21" t="s">
        <v>374</v>
      </c>
      <c r="C171" s="21" t="s">
        <v>533</v>
      </c>
      <c r="D171" s="21" t="s">
        <v>534</v>
      </c>
      <c r="E171" s="21" t="str">
        <f>_xlfn.CONCAT(Funcionários!B52)</f>
        <v>FERNANDA SILVA CONRADO</v>
      </c>
      <c r="F171" s="21" t="str">
        <f>_xlfn.CONCAT(Funcionários!C52)</f>
        <v>RELACIONAMENTO COM O CLIENTE</v>
      </c>
      <c r="G171" s="33">
        <v>49199</v>
      </c>
      <c r="H171" s="37" t="s">
        <v>535</v>
      </c>
      <c r="I171" s="32"/>
      <c r="J171" s="32"/>
      <c r="K171" s="32"/>
    </row>
    <row r="172" spans="1:11" ht="19.5">
      <c r="A172" s="21" t="s">
        <v>373</v>
      </c>
      <c r="B172" s="21" t="s">
        <v>374</v>
      </c>
      <c r="C172" s="21" t="s">
        <v>533</v>
      </c>
      <c r="D172" s="21"/>
      <c r="E172" s="21" t="str">
        <f>_xlfn.CONCAT(Funcionários!B110)</f>
        <v>JOÃO MARCELO LOSTADA</v>
      </c>
      <c r="F172" s="21" t="str">
        <f>_xlfn.CONCAT(Setor!B5)</f>
        <v>RELACIONAMENTO COM O CLIENTE</v>
      </c>
      <c r="G172" s="33">
        <v>49198</v>
      </c>
      <c r="H172" s="37" t="s">
        <v>536</v>
      </c>
      <c r="I172" s="32"/>
      <c r="J172" s="32"/>
      <c r="K172" s="32"/>
    </row>
    <row r="173" spans="1:11" ht="19.5">
      <c r="A173" s="21" t="s">
        <v>216</v>
      </c>
      <c r="B173" s="21" t="s">
        <v>217</v>
      </c>
      <c r="C173" s="21" t="s">
        <v>537</v>
      </c>
      <c r="D173" s="21" t="s">
        <v>538</v>
      </c>
      <c r="E173" s="35" t="str">
        <f>_xlfn.CONCAT(Funcionários!B9)</f>
        <v>LUIZA CUNHA SENA</v>
      </c>
      <c r="F173" s="35" t="str">
        <f>_xlfn.CONCAT(Funcionários!C9)</f>
        <v>AGILIDADE</v>
      </c>
      <c r="G173" s="33">
        <v>28798</v>
      </c>
      <c r="H173" s="37"/>
      <c r="I173" s="32"/>
      <c r="J173" s="32"/>
      <c r="K173" s="32"/>
    </row>
    <row r="174" spans="1:11" ht="19.5">
      <c r="A174" s="21" t="s">
        <v>216</v>
      </c>
      <c r="B174" s="21" t="s">
        <v>290</v>
      </c>
      <c r="C174" s="23" t="s">
        <v>539</v>
      </c>
      <c r="D174" s="21" t="s">
        <v>540</v>
      </c>
      <c r="E174" s="101"/>
      <c r="F174" s="35"/>
      <c r="G174" s="33">
        <v>28754</v>
      </c>
      <c r="H174" s="37" t="s">
        <v>541</v>
      </c>
      <c r="I174" s="32"/>
      <c r="J174" s="32"/>
      <c r="K174" s="32"/>
    </row>
    <row r="175" spans="1:11" ht="19.5">
      <c r="A175" s="21" t="s">
        <v>216</v>
      </c>
      <c r="B175" s="21" t="s">
        <v>211</v>
      </c>
      <c r="C175" s="21" t="s">
        <v>542</v>
      </c>
      <c r="D175" s="21" t="s">
        <v>543</v>
      </c>
      <c r="E175" s="21" t="str">
        <f>_xlfn.CONCAT(Funcionários!B109)</f>
        <v>ELAN SCHINADER</v>
      </c>
      <c r="F175" s="21" t="str">
        <f>_xlfn.CONCAT(Setor!B6)</f>
        <v>INFRA</v>
      </c>
      <c r="G175" s="33">
        <v>50416</v>
      </c>
      <c r="H175" s="63" t="s">
        <v>544</v>
      </c>
      <c r="I175" s="32"/>
      <c r="J175" s="32"/>
      <c r="K175" s="32"/>
    </row>
    <row r="176" spans="1:11" ht="19.5">
      <c r="A176" s="21" t="s">
        <v>216</v>
      </c>
      <c r="B176" s="21" t="s">
        <v>211</v>
      </c>
      <c r="C176" s="21" t="s">
        <v>542</v>
      </c>
      <c r="D176" s="21" t="s">
        <v>545</v>
      </c>
      <c r="E176" s="21" t="s">
        <v>546</v>
      </c>
      <c r="F176" s="21" t="s">
        <v>547</v>
      </c>
      <c r="G176" s="33">
        <v>49173</v>
      </c>
      <c r="H176" s="37" t="s">
        <v>548</v>
      </c>
      <c r="I176" s="32"/>
      <c r="J176" s="32"/>
      <c r="K176" s="32"/>
    </row>
    <row r="177" spans="1:11" ht="19.5">
      <c r="A177" s="21" t="s">
        <v>216</v>
      </c>
      <c r="B177" s="21" t="s">
        <v>211</v>
      </c>
      <c r="C177" s="21" t="s">
        <v>542</v>
      </c>
      <c r="D177" s="21" t="s">
        <v>549</v>
      </c>
      <c r="E177" s="21" t="str">
        <f>_xlfn.CONCAT(Funcionários!B98)</f>
        <v>EMANUELA LEHMKUHL</v>
      </c>
      <c r="F177" s="21" t="str">
        <f>_xlfn.CONCAT(Setor!B5)</f>
        <v>RELACIONAMENTO COM O CLIENTE</v>
      </c>
      <c r="G177" s="33">
        <v>49172</v>
      </c>
      <c r="H177" s="37" t="s">
        <v>550</v>
      </c>
      <c r="I177" s="32"/>
      <c r="J177" s="32"/>
      <c r="K177" s="32"/>
    </row>
    <row r="178" spans="1:11" ht="19.5">
      <c r="A178" s="21" t="s">
        <v>216</v>
      </c>
      <c r="B178" s="21" t="s">
        <v>211</v>
      </c>
      <c r="C178" s="21" t="s">
        <v>542</v>
      </c>
      <c r="D178" s="21" t="s">
        <v>551</v>
      </c>
      <c r="E178" s="21" t="str">
        <f>_xlfn.CONCAT(Funcionários!B153)</f>
        <v>NATAN SEBASTIÃO SILVEIRA</v>
      </c>
      <c r="F178" s="21" t="str">
        <f>_xlfn.CONCAT(Funcionários!C153)</f>
        <v>INFRA</v>
      </c>
      <c r="G178" s="33">
        <v>49191</v>
      </c>
      <c r="H178" s="37" t="s">
        <v>550</v>
      </c>
      <c r="I178" s="32"/>
      <c r="J178" s="32"/>
      <c r="K178" s="32"/>
    </row>
    <row r="179" spans="1:11" ht="19.5">
      <c r="A179" s="21" t="s">
        <v>216</v>
      </c>
      <c r="B179" s="21" t="s">
        <v>211</v>
      </c>
      <c r="C179" s="21" t="s">
        <v>542</v>
      </c>
      <c r="D179" s="21" t="s">
        <v>552</v>
      </c>
      <c r="E179" s="21" t="str">
        <f>_xlfn.CONCAT(Funcionários!B104)</f>
        <v>MATHEUS EUGÊNIO DA SILVA</v>
      </c>
      <c r="F179" s="21" t="s">
        <v>553</v>
      </c>
      <c r="G179" s="33">
        <v>50417</v>
      </c>
      <c r="H179" s="37" t="s">
        <v>293</v>
      </c>
      <c r="I179" s="32"/>
      <c r="J179" s="32"/>
      <c r="K179" s="32"/>
    </row>
    <row r="180" spans="1:11" ht="19.5">
      <c r="A180" s="21" t="s">
        <v>216</v>
      </c>
      <c r="B180" s="21" t="s">
        <v>211</v>
      </c>
      <c r="C180" s="21" t="s">
        <v>542</v>
      </c>
      <c r="D180" s="21" t="s">
        <v>554</v>
      </c>
      <c r="E180" s="21" t="str">
        <f>_xlfn.CONCAT(Funcionários!B76)</f>
        <v>RUTH MARTINS</v>
      </c>
      <c r="F180" s="21" t="str">
        <f>_xlfn.CONCAT(Funcionários!C76)</f>
        <v>FINANCEIRO</v>
      </c>
      <c r="G180" s="33">
        <v>50418</v>
      </c>
      <c r="H180" s="37"/>
      <c r="I180" s="32"/>
      <c r="J180" s="32"/>
      <c r="K180" s="32"/>
    </row>
    <row r="181" spans="1:11" ht="19.5">
      <c r="A181" s="21" t="s">
        <v>216</v>
      </c>
      <c r="B181" s="21" t="s">
        <v>211</v>
      </c>
      <c r="C181" s="21" t="s">
        <v>542</v>
      </c>
      <c r="D181" s="21" t="s">
        <v>555</v>
      </c>
      <c r="E181" s="21"/>
      <c r="F181" s="21"/>
      <c r="G181" s="33">
        <v>48696</v>
      </c>
      <c r="H181" s="37" t="s">
        <v>556</v>
      </c>
      <c r="I181" s="32"/>
      <c r="J181" s="32"/>
      <c r="K181" s="32"/>
    </row>
    <row r="182" spans="1:11" ht="19.5">
      <c r="A182" s="21" t="s">
        <v>216</v>
      </c>
      <c r="B182" s="21" t="s">
        <v>211</v>
      </c>
      <c r="C182" s="21" t="s">
        <v>542</v>
      </c>
      <c r="D182" s="21" t="s">
        <v>557</v>
      </c>
      <c r="E182" s="21" t="str">
        <f>_xlfn.CONCAT(Funcionários!B108)</f>
        <v>ERICKE HENRIQUE DOS SANTOS</v>
      </c>
      <c r="F182" s="21" t="str">
        <f>_xlfn.CONCAT(Setor!B5)</f>
        <v>RELACIONAMENTO COM O CLIENTE</v>
      </c>
      <c r="G182" s="33">
        <v>48698</v>
      </c>
      <c r="H182" s="37" t="s">
        <v>558</v>
      </c>
      <c r="I182" s="32"/>
      <c r="J182" s="32"/>
      <c r="K182" s="32"/>
    </row>
    <row r="183" spans="1:11" ht="19.5">
      <c r="A183" s="21" t="s">
        <v>216</v>
      </c>
      <c r="B183" s="21" t="s">
        <v>211</v>
      </c>
      <c r="C183" s="21" t="s">
        <v>542</v>
      </c>
      <c r="D183" s="21" t="s">
        <v>559</v>
      </c>
      <c r="E183" s="21" t="str">
        <f>_xlfn.CONCAT(Funcionários!B133)</f>
        <v>LUIZ HENRIQUE LOPES</v>
      </c>
      <c r="F183" s="21" t="str">
        <f>_xlfn.CONCAT(Funcionários!C133)</f>
        <v>INFRA</v>
      </c>
      <c r="G183" s="33">
        <v>48694</v>
      </c>
      <c r="H183" s="37" t="s">
        <v>560</v>
      </c>
      <c r="I183" s="32"/>
      <c r="J183" s="32"/>
      <c r="K183" s="32"/>
    </row>
    <row r="184" spans="1:11" ht="19.5">
      <c r="A184" s="21" t="s">
        <v>216</v>
      </c>
      <c r="B184" s="21" t="s">
        <v>211</v>
      </c>
      <c r="C184" s="21" t="s">
        <v>542</v>
      </c>
      <c r="D184" s="21" t="s">
        <v>561</v>
      </c>
      <c r="E184" s="21" t="str">
        <f>_xlfn.CONCAT(Funcionários!B65)</f>
        <v>JAQUELINE FREITAS JACQUES</v>
      </c>
      <c r="F184" s="21" t="str">
        <f>_xlfn.CONCAT(Funcionários!C45)</f>
        <v>RELACIONAMENTO COM O CLIENTE</v>
      </c>
      <c r="G184" s="33">
        <v>49153</v>
      </c>
      <c r="H184" s="37"/>
      <c r="I184" s="32"/>
      <c r="J184" s="32"/>
      <c r="K184" s="32"/>
    </row>
    <row r="185" spans="1:11" ht="19.5">
      <c r="A185" s="21" t="s">
        <v>216</v>
      </c>
      <c r="B185" s="21" t="s">
        <v>211</v>
      </c>
      <c r="C185" s="21" t="s">
        <v>542</v>
      </c>
      <c r="D185" s="21" t="s">
        <v>562</v>
      </c>
      <c r="E185" s="21" t="str">
        <f>_xlfn.CONCAT(Funcionários!B69)</f>
        <v>JONIEL CORREA DA SILVA</v>
      </c>
      <c r="F185" s="21" t="str">
        <f>_xlfn.CONCAT(Funcionários!C69)</f>
        <v>RELACIONAMENTO COM O CLIENTE</v>
      </c>
      <c r="G185" s="33">
        <v>48691</v>
      </c>
      <c r="H185" s="37"/>
      <c r="I185" s="32"/>
      <c r="J185" s="32"/>
      <c r="K185" s="32"/>
    </row>
    <row r="186" spans="1:11" ht="20.25" customHeight="1">
      <c r="A186" s="21" t="s">
        <v>216</v>
      </c>
      <c r="B186" s="21" t="s">
        <v>211</v>
      </c>
      <c r="C186" s="21" t="s">
        <v>542</v>
      </c>
      <c r="D186" s="21" t="s">
        <v>563</v>
      </c>
      <c r="E186" s="21" t="str">
        <f>_xlfn.CONCAT(Funcionários!B131)</f>
        <v>ARION CARRION DE LIMA DE ALMEIDA</v>
      </c>
      <c r="F186" s="21" t="str">
        <f>_xlfn.CONCAT(Funcionários!C131)</f>
        <v>INFRA</v>
      </c>
      <c r="G186" s="33">
        <v>48693</v>
      </c>
      <c r="H186" s="37" t="s">
        <v>564</v>
      </c>
      <c r="I186" s="32"/>
      <c r="J186" s="32"/>
      <c r="K186" s="32"/>
    </row>
    <row r="187" spans="1:11" ht="17.25" customHeight="1">
      <c r="A187" s="21" t="s">
        <v>216</v>
      </c>
      <c r="B187" s="21" t="s">
        <v>211</v>
      </c>
      <c r="C187" s="21" t="s">
        <v>542</v>
      </c>
      <c r="D187" s="21" t="s">
        <v>565</v>
      </c>
      <c r="E187" s="21"/>
      <c r="F187" s="21"/>
      <c r="G187" s="33">
        <v>45319</v>
      </c>
      <c r="H187" s="66" t="s">
        <v>566</v>
      </c>
      <c r="I187" s="32"/>
      <c r="J187" s="32"/>
      <c r="K187" s="32"/>
    </row>
    <row r="188" spans="1:11" ht="19.5">
      <c r="A188" s="21" t="s">
        <v>216</v>
      </c>
      <c r="B188" s="21" t="s">
        <v>290</v>
      </c>
      <c r="C188" s="21" t="s">
        <v>539</v>
      </c>
      <c r="D188" s="21" t="s">
        <v>567</v>
      </c>
      <c r="E188" s="21" t="str">
        <f>_xlfn.CONCAT(Funcionários!B7)</f>
        <v>GUILHERME VASCONCELLOS BARDALHO</v>
      </c>
      <c r="F188" s="21" t="str">
        <f>_xlfn.CONCAT(Funcionários!C6)</f>
        <v>INTELIGENCIA DE REDES</v>
      </c>
      <c r="G188" s="33">
        <v>29751</v>
      </c>
      <c r="H188" s="37" t="s">
        <v>568</v>
      </c>
      <c r="I188" s="32"/>
      <c r="J188" s="32"/>
      <c r="K188" s="32"/>
    </row>
    <row r="189" spans="1:11" ht="19.5">
      <c r="A189" s="36" t="s">
        <v>216</v>
      </c>
      <c r="B189" s="21" t="s">
        <v>569</v>
      </c>
      <c r="C189" s="21" t="s">
        <v>570</v>
      </c>
      <c r="D189" s="21"/>
      <c r="E189" s="21"/>
      <c r="F189" s="21"/>
      <c r="G189" s="33">
        <v>27757</v>
      </c>
      <c r="H189" s="37"/>
      <c r="I189" s="32"/>
      <c r="J189" s="32"/>
      <c r="K189" s="32"/>
    </row>
    <row r="190" spans="1:11" ht="19.5">
      <c r="A190" s="21" t="s">
        <v>216</v>
      </c>
      <c r="B190" s="21" t="s">
        <v>569</v>
      </c>
      <c r="C190" s="21" t="s">
        <v>571</v>
      </c>
      <c r="D190" s="21"/>
      <c r="E190" s="21" t="str">
        <f>_xlfn.CONCAT(Funcionários!B81)</f>
        <v>MARCOS AURELIO SPINOSA</v>
      </c>
      <c r="F190" s="21" t="str">
        <f>_xlfn.CONCAT(Funcionários!C81)</f>
        <v>INFRA</v>
      </c>
      <c r="G190" s="33">
        <v>31862</v>
      </c>
      <c r="H190" s="37" t="s">
        <v>572</v>
      </c>
      <c r="I190" s="32"/>
      <c r="J190" s="32"/>
      <c r="K190" s="32"/>
    </row>
    <row r="191" spans="1:11" ht="19.5">
      <c r="A191" s="21" t="s">
        <v>216</v>
      </c>
      <c r="B191" s="21" t="s">
        <v>573</v>
      </c>
      <c r="C191" s="21">
        <v>12</v>
      </c>
      <c r="D191" s="21" t="s">
        <v>574</v>
      </c>
      <c r="E191" s="21" t="str">
        <f>_xlfn.CONCAT(Funcionários!B17)</f>
        <v>LARISSA MAY BACK</v>
      </c>
      <c r="F191" s="21" t="str">
        <f>_xlfn.CONCAT(Funcionários!C17)</f>
        <v>FINANCEIRO</v>
      </c>
      <c r="G191" s="33">
        <v>28779</v>
      </c>
      <c r="H191" s="37"/>
      <c r="I191" s="32"/>
      <c r="J191" s="32"/>
      <c r="K191" s="32"/>
    </row>
    <row r="192" spans="1:11" ht="19.5">
      <c r="A192" s="21" t="s">
        <v>216</v>
      </c>
      <c r="B192" s="21" t="s">
        <v>575</v>
      </c>
      <c r="C192" s="21" t="s">
        <v>576</v>
      </c>
      <c r="D192" s="21" t="s">
        <v>577</v>
      </c>
      <c r="E192" s="21" t="str">
        <f>_xlfn.CONCAT(Funcionários!B12)</f>
        <v>CAIO EDUARDO SIQUEIRA DA SILVA</v>
      </c>
      <c r="F192" s="21" t="str">
        <f>_xlfn.CONCAT(Setor!B7)</f>
        <v>INTELIGENCIA DE REDES</v>
      </c>
      <c r="G192" s="33">
        <v>29799</v>
      </c>
      <c r="H192" s="37"/>
      <c r="I192" s="32"/>
      <c r="J192" s="32"/>
      <c r="K192" s="32"/>
    </row>
    <row r="193" spans="1:11" ht="19.5">
      <c r="A193" s="21" t="s">
        <v>216</v>
      </c>
      <c r="B193" s="21" t="s">
        <v>575</v>
      </c>
      <c r="C193" s="21" t="s">
        <v>576</v>
      </c>
      <c r="D193" s="21" t="s">
        <v>578</v>
      </c>
      <c r="E193" s="21" t="s">
        <v>579</v>
      </c>
      <c r="F193" s="21" t="str">
        <f>_xlfn.CONCAT(Setor!B8)</f>
        <v>FINANCEIRO</v>
      </c>
      <c r="G193" s="33">
        <v>29800</v>
      </c>
      <c r="H193" s="37"/>
      <c r="I193" s="32"/>
      <c r="J193" s="32"/>
      <c r="K193" s="32"/>
    </row>
    <row r="194" spans="1:11" ht="19.5">
      <c r="A194" s="21" t="s">
        <v>216</v>
      </c>
      <c r="B194" s="21" t="s">
        <v>211</v>
      </c>
      <c r="C194" s="21" t="s">
        <v>580</v>
      </c>
      <c r="D194" s="21" t="s">
        <v>581</v>
      </c>
      <c r="E194" s="21" t="str">
        <f>_xlfn.CONCAT(Funcionários!B61)</f>
        <v>LETICIA DA SILVA FERRAZ</v>
      </c>
      <c r="F194" s="21" t="str">
        <f>_xlfn.CONCAT(Funcionários!C61)</f>
        <v>RELACIONAMENTO COM O CLIENTE</v>
      </c>
      <c r="G194" s="33">
        <v>30572</v>
      </c>
      <c r="H194" s="37" t="s">
        <v>582</v>
      </c>
      <c r="I194" s="32"/>
      <c r="J194" s="32"/>
      <c r="K194" s="32"/>
    </row>
    <row r="195" spans="1:11" ht="19.5">
      <c r="A195" s="21" t="s">
        <v>216</v>
      </c>
      <c r="B195" s="21" t="s">
        <v>211</v>
      </c>
      <c r="C195" s="21" t="s">
        <v>580</v>
      </c>
      <c r="D195" s="21" t="s">
        <v>583</v>
      </c>
      <c r="E195" s="21" t="str">
        <f>_xlfn.CONCAT(Funcionários!B6)</f>
        <v>FELIPE FOLSTER</v>
      </c>
      <c r="F195" s="21" t="str">
        <f>_xlfn.CONCAT(Funcionários!C6)</f>
        <v>INTELIGENCIA DE REDES</v>
      </c>
      <c r="G195" s="33">
        <v>30573</v>
      </c>
      <c r="H195" s="37" t="s">
        <v>584</v>
      </c>
      <c r="I195" s="32"/>
      <c r="J195" s="32"/>
      <c r="K195" s="32"/>
    </row>
    <row r="196" spans="1:11" ht="19.5">
      <c r="A196" s="21" t="s">
        <v>216</v>
      </c>
      <c r="B196" s="21" t="s">
        <v>235</v>
      </c>
      <c r="C196" s="21" t="s">
        <v>585</v>
      </c>
      <c r="D196" s="21" t="s">
        <v>586</v>
      </c>
      <c r="E196" s="21"/>
      <c r="F196" s="21"/>
      <c r="G196" s="33">
        <v>31867</v>
      </c>
      <c r="H196" s="37" t="s">
        <v>293</v>
      </c>
      <c r="I196" s="32"/>
      <c r="J196" s="32"/>
      <c r="K196" s="32"/>
    </row>
    <row r="197" spans="1:11" ht="19.5">
      <c r="A197" s="21" t="s">
        <v>216</v>
      </c>
      <c r="B197" s="21" t="s">
        <v>587</v>
      </c>
      <c r="C197" s="21"/>
      <c r="D197" s="21"/>
      <c r="E197" s="21" t="str">
        <f>_xlfn.CONCAT(Funcionários!B11)</f>
        <v>ISRAEL FELIX</v>
      </c>
      <c r="F197" s="21" t="str">
        <f>_xlfn.CONCAT(Funcionários!C11)</f>
        <v>MARKETING</v>
      </c>
      <c r="G197" s="33">
        <v>42450</v>
      </c>
      <c r="H197" s="37" t="s">
        <v>588</v>
      </c>
      <c r="I197" s="32"/>
      <c r="J197" s="32"/>
      <c r="K197" s="32"/>
    </row>
    <row r="198" spans="1:11" ht="19.5">
      <c r="A198" s="21" t="s">
        <v>216</v>
      </c>
      <c r="B198" s="21" t="s">
        <v>211</v>
      </c>
      <c r="C198" s="21" t="s">
        <v>589</v>
      </c>
      <c r="D198" s="21" t="s">
        <v>590</v>
      </c>
      <c r="E198" s="21" t="str">
        <f>_xlfn.CONCAT(Funcionários!B125)</f>
        <v>WILIAN DE ANDRADE GOGGIA</v>
      </c>
      <c r="F198" s="21" t="str">
        <f>_xlfn.CONCAT(Setor!B6)</f>
        <v>INFRA</v>
      </c>
      <c r="G198" s="33">
        <v>48692</v>
      </c>
      <c r="H198" s="37" t="s">
        <v>591</v>
      </c>
      <c r="I198" s="32"/>
      <c r="J198" s="32"/>
      <c r="K198" s="32"/>
    </row>
    <row r="199" spans="1:11" ht="19.5">
      <c r="A199" s="21" t="s">
        <v>216</v>
      </c>
      <c r="B199" s="21" t="s">
        <v>211</v>
      </c>
      <c r="C199" s="21" t="s">
        <v>592</v>
      </c>
      <c r="D199" s="21" t="s">
        <v>593</v>
      </c>
      <c r="E199" s="21" t="str">
        <f>_xlfn.CONCAT(Funcionários!B49)</f>
        <v>EDUARDA VIEIRA</v>
      </c>
      <c r="F199" s="21" t="str">
        <f>_xlfn.CONCAT(Funcionários!C71)</f>
        <v>RELACIONAMENTO COM O CLIENTE</v>
      </c>
      <c r="G199" s="33">
        <v>33998</v>
      </c>
      <c r="H199" s="37" t="s">
        <v>594</v>
      </c>
      <c r="I199" s="32"/>
      <c r="J199" s="32"/>
      <c r="K199" s="32"/>
    </row>
    <row r="200" spans="1:11" ht="19.5">
      <c r="A200" s="21" t="s">
        <v>216</v>
      </c>
      <c r="B200" s="21" t="s">
        <v>211</v>
      </c>
      <c r="C200" s="21" t="s">
        <v>592</v>
      </c>
      <c r="D200" s="21" t="s">
        <v>595</v>
      </c>
      <c r="E200" s="21" t="str">
        <f>_xlfn.CONCAT(Funcionários!B19)</f>
        <v>GRAZIELLY MACEDO</v>
      </c>
      <c r="F200" s="21" t="str">
        <f>_xlfn.CONCAT(Funcionários!C17)</f>
        <v>FINANCEIRO</v>
      </c>
      <c r="G200" s="33">
        <v>31873</v>
      </c>
      <c r="H200" s="37" t="s">
        <v>596</v>
      </c>
      <c r="I200" s="32"/>
      <c r="J200" s="32"/>
      <c r="K200" s="32"/>
    </row>
    <row r="201" spans="1:11" ht="19.5">
      <c r="A201" s="21" t="s">
        <v>216</v>
      </c>
      <c r="B201" s="21" t="s">
        <v>211</v>
      </c>
      <c r="C201" s="21" t="s">
        <v>597</v>
      </c>
      <c r="D201" s="21" t="s">
        <v>598</v>
      </c>
      <c r="E201" s="21" t="str">
        <f>_xlfn.CONCAT(Funcionários!B75)</f>
        <v>WELITON CUSTODIO</v>
      </c>
      <c r="F201" s="21" t="str">
        <f>_xlfn.CONCAT(Funcionários!C75)</f>
        <v>RELACIONAMENTO COM O CLIENTE</v>
      </c>
      <c r="G201" s="56">
        <v>49152</v>
      </c>
      <c r="H201" s="63" t="s">
        <v>591</v>
      </c>
      <c r="I201" s="32"/>
      <c r="J201" s="32"/>
      <c r="K201" s="32"/>
    </row>
    <row r="202" spans="1:11" ht="19.5">
      <c r="A202" s="21" t="s">
        <v>216</v>
      </c>
      <c r="B202" s="21" t="s">
        <v>211</v>
      </c>
      <c r="C202" s="21" t="s">
        <v>597</v>
      </c>
      <c r="D202" s="21" t="s">
        <v>543</v>
      </c>
      <c r="E202" s="21" t="str">
        <f>_xlfn.CONCAT(Funcionários!B53)</f>
        <v>FILIPE EDUARDO DE MEDEIROS</v>
      </c>
      <c r="F202" s="21" t="str">
        <f>_xlfn.CONCAT(Funcionários!C53)</f>
        <v>INTELIGENCIA DE REDES</v>
      </c>
      <c r="G202" s="33">
        <v>50450</v>
      </c>
      <c r="H202" s="63" t="s">
        <v>599</v>
      </c>
      <c r="I202" s="32"/>
      <c r="J202" s="32"/>
      <c r="K202" s="32"/>
    </row>
    <row r="203" spans="1:11" ht="19.5">
      <c r="A203" s="21" t="s">
        <v>216</v>
      </c>
      <c r="B203" s="21" t="s">
        <v>211</v>
      </c>
      <c r="C203" s="21" t="s">
        <v>600</v>
      </c>
      <c r="D203" s="21" t="s">
        <v>601</v>
      </c>
      <c r="E203" s="21" t="str">
        <f>_xlfn.CONCAT(Funcionários!B45)</f>
        <v>BRUNO RICARDO CAMPOS</v>
      </c>
      <c r="F203" s="21" t="str">
        <f>_xlfn.CONCAT(Funcionários!C45)</f>
        <v>RELACIONAMENTO COM O CLIENTE</v>
      </c>
      <c r="G203" s="33">
        <v>45315</v>
      </c>
      <c r="H203" s="63" t="s">
        <v>599</v>
      </c>
      <c r="I203" s="32"/>
      <c r="J203" s="32"/>
      <c r="K203" s="32"/>
    </row>
    <row r="204" spans="1:11" ht="19.5">
      <c r="A204" s="21" t="s">
        <v>216</v>
      </c>
      <c r="B204" s="21" t="s">
        <v>211</v>
      </c>
      <c r="C204" s="21" t="s">
        <v>597</v>
      </c>
      <c r="D204" s="21" t="s">
        <v>602</v>
      </c>
      <c r="E204" s="21" t="str">
        <f>_xlfn.CONCAT(Funcionários!B35)</f>
        <v>WILLIAN RIBEIRO DE SOUZA</v>
      </c>
      <c r="F204" s="21" t="str">
        <f>_xlfn.CONCAT(Funcionários!C35)</f>
        <v>GESTÃO DE FORNECEDORES</v>
      </c>
      <c r="G204" s="33">
        <v>40385</v>
      </c>
      <c r="H204" s="63" t="s">
        <v>603</v>
      </c>
      <c r="I204" s="32"/>
      <c r="J204" s="32"/>
      <c r="K204" s="32"/>
    </row>
    <row r="205" spans="1:11" ht="19.5">
      <c r="A205" s="21" t="s">
        <v>216</v>
      </c>
      <c r="B205" s="21" t="s">
        <v>217</v>
      </c>
      <c r="C205" s="21" t="s">
        <v>222</v>
      </c>
      <c r="D205" s="21" t="s">
        <v>604</v>
      </c>
      <c r="E205" s="21" t="str">
        <f>_xlfn.CONCAT(Funcionários!B151)</f>
        <v>BRUNO FERNANDO MEDENSKI</v>
      </c>
      <c r="F205" s="21" t="str">
        <f>_xlfn.CONCAT(Funcionários!C151)</f>
        <v>RELACIONAMENTO COM O CLIENTE</v>
      </c>
      <c r="G205" s="33">
        <v>37763</v>
      </c>
      <c r="H205" s="37"/>
      <c r="I205" s="32"/>
      <c r="J205" s="32"/>
      <c r="K205" s="32"/>
    </row>
    <row r="206" spans="1:11" ht="19.5">
      <c r="A206" s="21" t="s">
        <v>216</v>
      </c>
      <c r="B206" s="21" t="s">
        <v>217</v>
      </c>
      <c r="C206" s="21" t="s">
        <v>605</v>
      </c>
      <c r="D206" s="21" t="s">
        <v>606</v>
      </c>
      <c r="E206" s="21" t="str">
        <f>_xlfn.CONCAT(Funcionários!B89)</f>
        <v>FRANK GONÇALVES</v>
      </c>
      <c r="F206" s="21" t="str">
        <f>_xlfn.CONCAT(Funcionários!C89)</f>
        <v>RELACIONAMENTO COM O CLIENTE</v>
      </c>
      <c r="G206" s="33">
        <v>43848</v>
      </c>
      <c r="H206" s="37" t="s">
        <v>293</v>
      </c>
      <c r="I206" s="32"/>
      <c r="J206" s="32"/>
      <c r="K206" s="32"/>
    </row>
    <row r="207" spans="1:11" ht="19.5">
      <c r="A207" s="21" t="s">
        <v>216</v>
      </c>
      <c r="B207" s="21" t="s">
        <v>217</v>
      </c>
      <c r="C207" s="21" t="s">
        <v>605</v>
      </c>
      <c r="D207" s="21" t="s">
        <v>606</v>
      </c>
      <c r="E207" s="21" t="str">
        <f>_xlfn.CONCAT(Funcionários!B50)</f>
        <v>FELLIPE GARCIA</v>
      </c>
      <c r="F207" s="21" t="str">
        <f>_xlfn.CONCAT(Funcionários!C50)</f>
        <v>RELACIONAMENTO COM O CLIENTE</v>
      </c>
      <c r="G207" s="33">
        <v>43842</v>
      </c>
      <c r="H207" s="37" t="s">
        <v>293</v>
      </c>
      <c r="I207" s="32"/>
      <c r="J207" s="32"/>
      <c r="K207" s="32"/>
    </row>
    <row r="208" spans="1:11" ht="19.5">
      <c r="A208" s="21" t="s">
        <v>216</v>
      </c>
      <c r="B208" s="21" t="s">
        <v>217</v>
      </c>
      <c r="C208" s="21" t="s">
        <v>605</v>
      </c>
      <c r="D208" s="21" t="s">
        <v>606</v>
      </c>
      <c r="E208" s="21" t="str">
        <f>_xlfn.CONCAT(Funcionários!B71)</f>
        <v>RONALD VIEIRA DE OLIVEIRA</v>
      </c>
      <c r="F208" s="21" t="str">
        <f>_xlfn.CONCAT(Funcionários!C71)</f>
        <v>RELACIONAMENTO COM O CLIENTE</v>
      </c>
      <c r="G208" s="33">
        <v>43843</v>
      </c>
      <c r="H208" s="37" t="s">
        <v>293</v>
      </c>
      <c r="I208" s="32"/>
      <c r="J208" s="32"/>
      <c r="K208" s="32"/>
    </row>
    <row r="209" spans="1:11" ht="19.5">
      <c r="A209" s="21" t="s">
        <v>216</v>
      </c>
      <c r="B209" s="21" t="s">
        <v>217</v>
      </c>
      <c r="C209" s="21" t="s">
        <v>605</v>
      </c>
      <c r="D209" s="21" t="s">
        <v>606</v>
      </c>
      <c r="E209" s="21"/>
      <c r="F209" s="21"/>
      <c r="G209" s="33">
        <v>43847</v>
      </c>
      <c r="H209" s="37" t="s">
        <v>607</v>
      </c>
      <c r="I209" s="32"/>
      <c r="J209" s="32"/>
      <c r="K209" s="32"/>
    </row>
    <row r="210" spans="1:11" ht="19.5">
      <c r="A210" s="21" t="s">
        <v>216</v>
      </c>
      <c r="B210" s="21" t="s">
        <v>217</v>
      </c>
      <c r="C210" s="21" t="s">
        <v>605</v>
      </c>
      <c r="D210" s="21" t="s">
        <v>606</v>
      </c>
      <c r="E210" s="21" t="str">
        <f>_xlfn.CONCAT(Funcionários!B17)</f>
        <v>LARISSA MAY BACK</v>
      </c>
      <c r="F210" s="21" t="str">
        <f>_xlfn.CONCAT(Funcionários!C17)</f>
        <v>FINANCEIRO</v>
      </c>
      <c r="G210" s="33">
        <v>42146</v>
      </c>
      <c r="H210" s="37" t="s">
        <v>293</v>
      </c>
      <c r="I210" s="32"/>
      <c r="J210" s="32"/>
      <c r="K210" s="32"/>
    </row>
    <row r="211" spans="1:11" ht="19.5">
      <c r="A211" s="21" t="s">
        <v>216</v>
      </c>
      <c r="B211" s="21" t="s">
        <v>217</v>
      </c>
      <c r="C211" s="21" t="s">
        <v>605</v>
      </c>
      <c r="D211" s="21" t="s">
        <v>606</v>
      </c>
      <c r="E211" s="21" t="str">
        <f>_xlfn.CONCAT(Funcionários!B57)</f>
        <v>HUGO QUARESMA SOUZA</v>
      </c>
      <c r="F211" s="21" t="str">
        <f>_xlfn.CONCAT(Funcionários!C57)</f>
        <v>RELACIONAMENTO COM O CLIENTE</v>
      </c>
      <c r="G211" s="33">
        <v>42147</v>
      </c>
      <c r="H211" s="37" t="s">
        <v>293</v>
      </c>
      <c r="I211" s="32"/>
      <c r="J211" s="32"/>
      <c r="K211" s="32"/>
    </row>
    <row r="212" spans="1:11" ht="19.5">
      <c r="A212" s="21" t="s">
        <v>216</v>
      </c>
      <c r="B212" s="21" t="s">
        <v>217</v>
      </c>
      <c r="C212" s="21" t="s">
        <v>605</v>
      </c>
      <c r="D212" s="21" t="s">
        <v>606</v>
      </c>
      <c r="E212" s="21"/>
      <c r="F212" s="21"/>
      <c r="G212" s="33">
        <v>42141</v>
      </c>
      <c r="H212" s="37" t="s">
        <v>293</v>
      </c>
      <c r="I212" s="32"/>
      <c r="J212" s="32"/>
      <c r="K212" s="32"/>
    </row>
    <row r="213" spans="1:11" ht="19.5">
      <c r="A213" s="21" t="s">
        <v>216</v>
      </c>
      <c r="B213" s="21" t="s">
        <v>217</v>
      </c>
      <c r="C213" s="21" t="s">
        <v>605</v>
      </c>
      <c r="D213" s="21" t="s">
        <v>606</v>
      </c>
      <c r="E213" s="21" t="str">
        <f>_xlfn.CONCAT(Funcionários!B128)</f>
        <v>JULIANA MACHADO MARTINHO</v>
      </c>
      <c r="F213" s="21" t="str">
        <f>_xlfn.CONCAT(Funcionários!C128)</f>
        <v>FINANCEIRO</v>
      </c>
      <c r="G213" s="33">
        <v>42148</v>
      </c>
      <c r="H213" s="37" t="s">
        <v>293</v>
      </c>
      <c r="I213" s="32"/>
      <c r="J213" s="32"/>
      <c r="K213" s="32"/>
    </row>
    <row r="214" spans="1:11" ht="19.5">
      <c r="A214" s="21" t="s">
        <v>216</v>
      </c>
      <c r="B214" s="21" t="s">
        <v>211</v>
      </c>
      <c r="C214" s="21" t="s">
        <v>592</v>
      </c>
      <c r="D214" s="21" t="s">
        <v>608</v>
      </c>
      <c r="E214" s="21"/>
      <c r="F214" s="21"/>
      <c r="G214" s="33">
        <v>31859</v>
      </c>
      <c r="H214" s="63" t="s">
        <v>609</v>
      </c>
      <c r="I214" s="32"/>
      <c r="J214" s="32"/>
      <c r="K214" s="32"/>
    </row>
    <row r="215" spans="1:11" ht="19.5">
      <c r="A215" s="21" t="s">
        <v>216</v>
      </c>
      <c r="B215" s="21" t="s">
        <v>211</v>
      </c>
      <c r="C215" s="21" t="s">
        <v>610</v>
      </c>
      <c r="D215" s="21" t="s">
        <v>611</v>
      </c>
      <c r="E215" s="21"/>
      <c r="F215" s="21"/>
      <c r="G215" s="33">
        <v>31854</v>
      </c>
      <c r="H215" s="63" t="s">
        <v>612</v>
      </c>
      <c r="I215" s="32"/>
      <c r="J215" s="32"/>
      <c r="K215" s="32"/>
    </row>
    <row r="216" spans="1:11" ht="19.5">
      <c r="A216" s="21" t="s">
        <v>216</v>
      </c>
      <c r="B216" s="21" t="s">
        <v>211</v>
      </c>
      <c r="C216" s="21" t="s">
        <v>610</v>
      </c>
      <c r="D216" s="21" t="s">
        <v>613</v>
      </c>
      <c r="E216" s="21" t="str">
        <f>_xlfn.CONCAT(Funcionários!B60)</f>
        <v>JULIO CESAR DA SILVA AGOSTINHO</v>
      </c>
      <c r="F216" s="21" t="str">
        <f>_xlfn.CONCAT(Funcionários!C60)</f>
        <v>RELACIONAMENTO COM O CLIENTE</v>
      </c>
      <c r="G216" s="33">
        <v>31871</v>
      </c>
      <c r="H216" s="63" t="s">
        <v>612</v>
      </c>
      <c r="I216" s="32"/>
      <c r="J216" s="32"/>
      <c r="K216" s="32"/>
    </row>
    <row r="217" spans="1:11" ht="19.5">
      <c r="A217" s="21" t="s">
        <v>216</v>
      </c>
      <c r="B217" s="21" t="s">
        <v>211</v>
      </c>
      <c r="C217" s="21" t="s">
        <v>614</v>
      </c>
      <c r="D217" s="21" t="s">
        <v>615</v>
      </c>
      <c r="E217" s="21"/>
      <c r="F217" s="21"/>
      <c r="G217" s="33">
        <v>31877</v>
      </c>
      <c r="H217" s="63" t="s">
        <v>616</v>
      </c>
      <c r="I217" s="32"/>
      <c r="J217" s="32"/>
      <c r="K217" s="32"/>
    </row>
    <row r="218" spans="1:11" ht="19.5">
      <c r="A218" s="21" t="s">
        <v>216</v>
      </c>
      <c r="B218" s="21" t="s">
        <v>211</v>
      </c>
      <c r="C218" s="21" t="s">
        <v>542</v>
      </c>
      <c r="D218" s="21" t="s">
        <v>617</v>
      </c>
      <c r="E218" s="21" t="str">
        <f>_xlfn.CONCAT(Funcionários!B80)</f>
        <v>EDEVANDRO BOGISCH</v>
      </c>
      <c r="F218" s="21" t="str">
        <f>_xlfn.CONCAT(Funcionários!C80)</f>
        <v>INFRA</v>
      </c>
      <c r="G218" s="33">
        <v>48697</v>
      </c>
      <c r="H218" s="72" t="s">
        <v>618</v>
      </c>
      <c r="I218" s="32"/>
      <c r="J218" s="32"/>
      <c r="K218" s="32"/>
    </row>
    <row r="219" spans="1:11" ht="19.5">
      <c r="A219" s="21" t="s">
        <v>216</v>
      </c>
      <c r="B219" s="21" t="s">
        <v>211</v>
      </c>
      <c r="C219" s="21" t="s">
        <v>619</v>
      </c>
      <c r="D219" s="21" t="s">
        <v>620</v>
      </c>
      <c r="E219" s="21" t="str">
        <f>_xlfn.CONCAT(Funcionários!B119)</f>
        <v>BRUNO OSMARINO DE SOUZA</v>
      </c>
      <c r="F219" s="21" t="str">
        <f>_xlfn.CONCAT(Funcionários!C80)</f>
        <v>INFRA</v>
      </c>
      <c r="G219" s="33">
        <v>50420</v>
      </c>
      <c r="H219" s="72"/>
      <c r="I219" s="32"/>
      <c r="J219" s="32"/>
      <c r="K219" s="32"/>
    </row>
    <row r="220" spans="1:11" ht="19.5">
      <c r="A220" s="21" t="s">
        <v>216</v>
      </c>
      <c r="B220" s="21" t="s">
        <v>211</v>
      </c>
      <c r="C220" s="21" t="s">
        <v>619</v>
      </c>
      <c r="D220" s="21" t="s">
        <v>621</v>
      </c>
      <c r="E220" s="21" t="str">
        <f>_xlfn.CONCAT(Funcionários!B124)</f>
        <v>LUCAS REKSHAUSE</v>
      </c>
      <c r="F220" s="21"/>
      <c r="G220" s="33">
        <v>50421</v>
      </c>
      <c r="H220" s="72" t="s">
        <v>622</v>
      </c>
      <c r="I220" s="32"/>
      <c r="J220" s="32"/>
      <c r="K220" s="32"/>
    </row>
    <row r="221" spans="1:11" ht="19.5">
      <c r="A221" s="21" t="s">
        <v>216</v>
      </c>
      <c r="B221" s="21" t="s">
        <v>211</v>
      </c>
      <c r="C221" s="21" t="s">
        <v>542</v>
      </c>
      <c r="D221" s="21" t="s">
        <v>623</v>
      </c>
      <c r="E221" s="21" t="str">
        <f>_xlfn.CONCAT(Funcionários!B35)</f>
        <v>WILLIAN RIBEIRO DE SOUZA</v>
      </c>
      <c r="F221" s="21" t="str">
        <f>_xlfn.CONCAT(Funcionários!C34)</f>
        <v>GESTÃO DE FORNECEDORES</v>
      </c>
      <c r="G221" s="33">
        <v>45323</v>
      </c>
      <c r="H221" s="65" t="s">
        <v>612</v>
      </c>
      <c r="I221" s="32"/>
      <c r="J221" s="32"/>
      <c r="K221" s="32"/>
    </row>
    <row r="222" spans="1:11" ht="19.5">
      <c r="A222" s="21" t="s">
        <v>216</v>
      </c>
      <c r="B222" s="21" t="s">
        <v>211</v>
      </c>
      <c r="C222" s="21" t="s">
        <v>542</v>
      </c>
      <c r="D222" s="21" t="s">
        <v>624</v>
      </c>
      <c r="E222" s="21" t="s">
        <v>299</v>
      </c>
      <c r="F222" s="21" t="s">
        <v>299</v>
      </c>
      <c r="G222" s="33">
        <v>45322</v>
      </c>
      <c r="H222" s="63" t="s">
        <v>625</v>
      </c>
      <c r="I222" s="32"/>
      <c r="J222" s="32"/>
      <c r="K222" s="32"/>
    </row>
    <row r="223" spans="1:11" ht="19.5">
      <c r="A223" s="21" t="s">
        <v>216</v>
      </c>
      <c r="B223" s="21" t="s">
        <v>211</v>
      </c>
      <c r="C223" s="21" t="s">
        <v>597</v>
      </c>
      <c r="D223" s="21" t="s">
        <v>626</v>
      </c>
      <c r="E223" s="21" t="str">
        <f>_xlfn.CONCAT(Funcionários!B52)</f>
        <v>FERNANDA SILVA CONRADO</v>
      </c>
      <c r="F223" s="21" t="str">
        <f>_xlfn.CONCAT(Funcionários!C52)</f>
        <v>RELACIONAMENTO COM O CLIENTE</v>
      </c>
      <c r="G223" s="33">
        <v>48695</v>
      </c>
      <c r="H223" s="37" t="s">
        <v>293</v>
      </c>
      <c r="I223" s="32"/>
      <c r="J223" s="32"/>
      <c r="K223" s="32"/>
    </row>
    <row r="224" spans="1:11" ht="19.5">
      <c r="A224" s="21" t="s">
        <v>216</v>
      </c>
      <c r="B224" s="21" t="s">
        <v>211</v>
      </c>
      <c r="C224" s="21" t="s">
        <v>597</v>
      </c>
      <c r="D224" s="21" t="s">
        <v>626</v>
      </c>
      <c r="E224" s="21" t="str">
        <f>_xlfn.CONCAT(Funcionários!B94)</f>
        <v>FAGNER GUSTAVO TOLEDO PEDROZO</v>
      </c>
      <c r="F224" s="21" t="str">
        <f>_xlfn.CONCAT(Funcionários!C94)</f>
        <v>RELACIONAMENTO COM O CLIENTE</v>
      </c>
      <c r="G224" s="33">
        <v>49151</v>
      </c>
      <c r="H224" s="37" t="s">
        <v>293</v>
      </c>
      <c r="I224" s="32"/>
      <c r="J224" s="32"/>
      <c r="K224" s="32"/>
    </row>
    <row r="225" spans="1:11" ht="19.5">
      <c r="A225" s="21" t="s">
        <v>627</v>
      </c>
      <c r="B225" s="21" t="s">
        <v>290</v>
      </c>
      <c r="C225" s="21" t="s">
        <v>628</v>
      </c>
      <c r="D225" s="21"/>
      <c r="E225" s="21" t="s">
        <v>629</v>
      </c>
      <c r="F225" s="21"/>
      <c r="G225" s="33">
        <v>28174</v>
      </c>
      <c r="H225" s="37"/>
      <c r="I225" s="32"/>
      <c r="J225" s="32"/>
      <c r="K225" s="32"/>
    </row>
    <row r="226" spans="1:11" ht="19.5">
      <c r="A226" s="21" t="s">
        <v>630</v>
      </c>
      <c r="B226" s="21" t="s">
        <v>211</v>
      </c>
      <c r="C226" s="21" t="s">
        <v>631</v>
      </c>
      <c r="D226" s="21" t="s">
        <v>632</v>
      </c>
      <c r="E226" s="21" t="str">
        <f>_xlfn.CONCAT(Funcionários!B93)</f>
        <v>DAYANE SOARES PEREIRA</v>
      </c>
      <c r="F226" s="21" t="str">
        <f>_xlfn.CONCAT(Funcionários!C93)</f>
        <v>COMERCIAL</v>
      </c>
      <c r="G226" s="33">
        <v>28785</v>
      </c>
      <c r="H226" s="66" t="s">
        <v>633</v>
      </c>
      <c r="I226" s="32"/>
      <c r="J226" s="32"/>
      <c r="K226" s="32"/>
    </row>
    <row r="227" spans="1:11" ht="32.25">
      <c r="A227" s="21" t="s">
        <v>630</v>
      </c>
      <c r="B227" s="21" t="s">
        <v>211</v>
      </c>
      <c r="C227" s="21" t="s">
        <v>631</v>
      </c>
      <c r="D227" s="21" t="s">
        <v>634</v>
      </c>
      <c r="E227" s="21"/>
      <c r="F227" s="21"/>
      <c r="G227" s="56">
        <v>30739</v>
      </c>
      <c r="H227" s="66" t="s">
        <v>635</v>
      </c>
      <c r="I227" s="32"/>
      <c r="J227" s="32"/>
      <c r="K227" s="32"/>
    </row>
    <row r="228" spans="1:11" ht="19.5">
      <c r="A228" s="21" t="s">
        <v>636</v>
      </c>
      <c r="B228" s="21" t="s">
        <v>637</v>
      </c>
      <c r="C228" s="21" t="s">
        <v>638</v>
      </c>
      <c r="D228" s="21" t="s">
        <v>639</v>
      </c>
      <c r="E228" s="21" t="s">
        <v>640</v>
      </c>
      <c r="F228" s="21" t="s">
        <v>641</v>
      </c>
      <c r="G228" s="33">
        <v>28152</v>
      </c>
      <c r="H228" s="37" t="s">
        <v>642</v>
      </c>
      <c r="I228" s="32"/>
      <c r="J228" s="32"/>
      <c r="K228" s="32"/>
    </row>
    <row r="229" spans="1:11" ht="19.5">
      <c r="A229" s="21" t="s">
        <v>636</v>
      </c>
      <c r="B229" s="21" t="s">
        <v>637</v>
      </c>
      <c r="C229" s="21" t="s">
        <v>638</v>
      </c>
      <c r="D229" s="21" t="s">
        <v>643</v>
      </c>
      <c r="E229" s="21" t="s">
        <v>644</v>
      </c>
      <c r="F229" s="21"/>
      <c r="G229" s="33">
        <v>28165</v>
      </c>
      <c r="H229" s="37" t="s">
        <v>645</v>
      </c>
      <c r="I229" s="32"/>
      <c r="J229" s="32"/>
      <c r="K229" s="32"/>
    </row>
    <row r="230" spans="1:11" ht="19.5">
      <c r="A230" s="21" t="s">
        <v>636</v>
      </c>
      <c r="B230" s="21" t="s">
        <v>637</v>
      </c>
      <c r="C230" s="21" t="s">
        <v>646</v>
      </c>
      <c r="D230" s="21" t="s">
        <v>647</v>
      </c>
      <c r="E230" s="21"/>
      <c r="F230" s="21"/>
      <c r="G230" s="33">
        <v>28161</v>
      </c>
      <c r="H230" s="37"/>
      <c r="I230" s="32"/>
      <c r="J230" s="32"/>
      <c r="K230" s="32"/>
    </row>
    <row r="231" spans="1:11" ht="19.5">
      <c r="A231" s="21" t="s">
        <v>636</v>
      </c>
      <c r="B231" s="21" t="s">
        <v>637</v>
      </c>
      <c r="C231" s="21" t="s">
        <v>646</v>
      </c>
      <c r="D231" s="21" t="s">
        <v>648</v>
      </c>
      <c r="E231" s="21"/>
      <c r="F231" s="21"/>
      <c r="G231" s="33">
        <v>28200</v>
      </c>
      <c r="H231" s="37" t="s">
        <v>649</v>
      </c>
      <c r="I231" s="32"/>
      <c r="J231" s="32"/>
      <c r="K231" s="32"/>
    </row>
    <row r="232" spans="1:11" ht="19.5">
      <c r="A232" s="21" t="s">
        <v>636</v>
      </c>
      <c r="B232" s="21" t="s">
        <v>637</v>
      </c>
      <c r="C232" s="21" t="s">
        <v>650</v>
      </c>
      <c r="D232" s="21" t="s">
        <v>651</v>
      </c>
      <c r="E232" s="21"/>
      <c r="F232" s="21"/>
      <c r="G232" s="33">
        <v>28170</v>
      </c>
      <c r="H232" s="37"/>
      <c r="I232" s="32"/>
      <c r="J232" s="32"/>
      <c r="K232" s="32"/>
    </row>
    <row r="233" spans="1:11" ht="19.5">
      <c r="A233" s="21" t="s">
        <v>636</v>
      </c>
      <c r="B233" s="21" t="s">
        <v>637</v>
      </c>
      <c r="C233" s="21" t="s">
        <v>638</v>
      </c>
      <c r="D233" s="21" t="s">
        <v>652</v>
      </c>
      <c r="E233" s="21"/>
      <c r="F233" s="21"/>
      <c r="G233" s="33">
        <v>28194</v>
      </c>
      <c r="H233" s="37"/>
      <c r="I233" s="32"/>
      <c r="J233" s="32"/>
      <c r="K233" s="32"/>
    </row>
    <row r="234" spans="1:11" ht="19.5">
      <c r="A234" s="21" t="s">
        <v>636</v>
      </c>
      <c r="B234" s="21" t="s">
        <v>637</v>
      </c>
      <c r="C234" s="21" t="s">
        <v>638</v>
      </c>
      <c r="D234" s="21" t="s">
        <v>653</v>
      </c>
      <c r="E234" s="21"/>
      <c r="F234" s="21"/>
      <c r="G234" s="33">
        <v>28173</v>
      </c>
      <c r="H234" s="37" t="s">
        <v>654</v>
      </c>
      <c r="I234" s="32"/>
      <c r="J234" s="32"/>
      <c r="K234" s="32"/>
    </row>
    <row r="235" spans="1:11" ht="19.5">
      <c r="A235" s="21" t="s">
        <v>636</v>
      </c>
      <c r="B235" s="21" t="s">
        <v>637</v>
      </c>
      <c r="C235" s="21" t="s">
        <v>638</v>
      </c>
      <c r="D235" s="21" t="s">
        <v>655</v>
      </c>
      <c r="E235" s="21"/>
      <c r="F235" s="21"/>
      <c r="G235" s="33">
        <v>28160</v>
      </c>
      <c r="H235" s="37" t="s">
        <v>656</v>
      </c>
      <c r="I235" s="32"/>
      <c r="J235" s="32"/>
      <c r="K235" s="32"/>
    </row>
    <row r="236" spans="1:11" ht="19.5">
      <c r="A236" s="21" t="s">
        <v>636</v>
      </c>
      <c r="B236" s="21" t="s">
        <v>637</v>
      </c>
      <c r="C236" s="21" t="s">
        <v>657</v>
      </c>
      <c r="D236" s="21" t="s">
        <v>658</v>
      </c>
      <c r="E236" s="21"/>
      <c r="F236" s="21"/>
      <c r="G236" s="33">
        <v>28181</v>
      </c>
      <c r="H236" s="37"/>
      <c r="I236" s="32"/>
      <c r="J236" s="32"/>
      <c r="K236" s="32"/>
    </row>
    <row r="237" spans="1:11" ht="19.5">
      <c r="A237" s="21" t="s">
        <v>636</v>
      </c>
      <c r="B237" s="21" t="s">
        <v>637</v>
      </c>
      <c r="C237" s="21" t="s">
        <v>638</v>
      </c>
      <c r="D237" s="21" t="s">
        <v>659</v>
      </c>
      <c r="E237" s="21"/>
      <c r="F237" s="21"/>
      <c r="G237" s="33">
        <v>28185</v>
      </c>
      <c r="H237" s="37"/>
      <c r="I237" s="32"/>
      <c r="J237" s="32"/>
      <c r="K237" s="32"/>
    </row>
    <row r="238" spans="1:11" ht="19.5">
      <c r="A238" s="21" t="s">
        <v>636</v>
      </c>
      <c r="B238" s="21" t="s">
        <v>637</v>
      </c>
      <c r="C238" s="21" t="s">
        <v>638</v>
      </c>
      <c r="D238" s="21" t="s">
        <v>660</v>
      </c>
      <c r="E238" s="21"/>
      <c r="F238" s="21"/>
      <c r="G238" s="71" t="s">
        <v>661</v>
      </c>
      <c r="H238" s="37" t="s">
        <v>662</v>
      </c>
      <c r="I238" s="32"/>
      <c r="J238" s="32"/>
      <c r="K238" s="32"/>
    </row>
    <row r="239" spans="1:11" ht="19.5">
      <c r="A239" s="21" t="s">
        <v>636</v>
      </c>
      <c r="B239" s="21" t="s">
        <v>637</v>
      </c>
      <c r="C239" s="21" t="s">
        <v>646</v>
      </c>
      <c r="D239" s="21" t="s">
        <v>663</v>
      </c>
      <c r="E239" s="21"/>
      <c r="F239" s="21"/>
      <c r="G239" s="33">
        <v>30738</v>
      </c>
      <c r="H239" s="37" t="s">
        <v>664</v>
      </c>
      <c r="I239" s="32"/>
      <c r="J239" s="32"/>
      <c r="K239" s="32"/>
    </row>
    <row r="240" spans="1:11" ht="19.5">
      <c r="A240" s="21" t="s">
        <v>636</v>
      </c>
      <c r="B240" s="21" t="s">
        <v>637</v>
      </c>
      <c r="C240" s="21" t="s">
        <v>646</v>
      </c>
      <c r="D240" s="21" t="s">
        <v>665</v>
      </c>
      <c r="E240" s="21" t="s">
        <v>666</v>
      </c>
      <c r="F240" s="21"/>
      <c r="G240" s="33">
        <v>31890</v>
      </c>
      <c r="H240" s="37" t="s">
        <v>649</v>
      </c>
      <c r="I240" s="32"/>
      <c r="J240" s="32"/>
      <c r="K240" s="32"/>
    </row>
    <row r="241" spans="1:11" ht="19.5">
      <c r="A241" s="21" t="s">
        <v>636</v>
      </c>
      <c r="B241" s="21" t="s">
        <v>637</v>
      </c>
      <c r="C241" s="21" t="s">
        <v>646</v>
      </c>
      <c r="D241" s="21" t="s">
        <v>667</v>
      </c>
      <c r="E241" s="21"/>
      <c r="F241" s="21"/>
      <c r="G241" s="33">
        <v>31880</v>
      </c>
      <c r="H241" s="37" t="s">
        <v>668</v>
      </c>
      <c r="I241" s="32"/>
      <c r="J241" s="32"/>
      <c r="K241" s="32"/>
    </row>
    <row r="242" spans="1:11" ht="19.5">
      <c r="A242" s="21" t="s">
        <v>636</v>
      </c>
      <c r="B242" s="21" t="s">
        <v>637</v>
      </c>
      <c r="C242" s="21" t="s">
        <v>646</v>
      </c>
      <c r="D242" s="21" t="s">
        <v>667</v>
      </c>
      <c r="E242" s="21" t="str">
        <f>_xlfn.CONCAT(Funcionários!B42)</f>
        <v>BIANCA OTON GOMES DA SILVA</v>
      </c>
      <c r="F242" s="21" t="str">
        <f>_xlfn.CONCAT(Funcionários!C42)</f>
        <v>RELACIONAMENTO COM O CLIENTE</v>
      </c>
      <c r="G242" s="33">
        <v>31882</v>
      </c>
      <c r="H242" s="37"/>
      <c r="I242" s="32"/>
      <c r="J242" s="32"/>
      <c r="K242" s="32"/>
    </row>
    <row r="243" spans="1:11" ht="19.5">
      <c r="A243" s="21" t="s">
        <v>636</v>
      </c>
      <c r="B243" s="21" t="s">
        <v>637</v>
      </c>
      <c r="C243" s="21" t="s">
        <v>646</v>
      </c>
      <c r="D243" s="21" t="s">
        <v>669</v>
      </c>
      <c r="E243" s="21"/>
      <c r="F243" s="21"/>
      <c r="G243" s="33">
        <v>31860</v>
      </c>
      <c r="H243" s="65"/>
      <c r="I243" s="32"/>
      <c r="J243" s="32"/>
      <c r="K243" s="32"/>
    </row>
    <row r="244" spans="1:11" ht="19.5">
      <c r="A244" s="21" t="s">
        <v>636</v>
      </c>
      <c r="B244" s="21" t="s">
        <v>637</v>
      </c>
      <c r="C244" s="21" t="s">
        <v>646</v>
      </c>
      <c r="D244" s="21"/>
      <c r="E244" s="21"/>
      <c r="F244" s="21"/>
      <c r="G244" s="33">
        <v>31891</v>
      </c>
      <c r="H244" s="64" t="s">
        <v>670</v>
      </c>
      <c r="I244" s="32"/>
      <c r="J244" s="32"/>
      <c r="K244" s="32"/>
    </row>
    <row r="245" spans="1:11" ht="19.5">
      <c r="A245" s="21" t="s">
        <v>636</v>
      </c>
      <c r="B245" s="21" t="s">
        <v>637</v>
      </c>
      <c r="C245" s="21" t="s">
        <v>646</v>
      </c>
      <c r="D245" s="21"/>
      <c r="E245" s="21"/>
      <c r="F245" s="21"/>
      <c r="G245" s="33">
        <v>31884</v>
      </c>
      <c r="H245" s="65" t="s">
        <v>656</v>
      </c>
      <c r="I245" s="32"/>
      <c r="J245" s="32"/>
      <c r="K245" s="32"/>
    </row>
    <row r="246" spans="1:11" ht="19.5">
      <c r="A246" s="21" t="s">
        <v>636</v>
      </c>
      <c r="B246" s="21" t="s">
        <v>637</v>
      </c>
      <c r="C246" s="21" t="s">
        <v>646</v>
      </c>
      <c r="D246" s="21"/>
      <c r="E246" s="21" t="str">
        <f>_xlfn.CONCAT(Funcionários!B20)</f>
        <v>LUCAS MOURA DA SILVA</v>
      </c>
      <c r="F246" s="21" t="str">
        <f>_xlfn.CONCAT(Funcionários!C20)</f>
        <v>COMERCIAL</v>
      </c>
      <c r="G246" s="33">
        <v>31858</v>
      </c>
      <c r="H246" s="64" t="s">
        <v>671</v>
      </c>
      <c r="I246" s="32"/>
      <c r="J246" s="32"/>
      <c r="K246" s="32"/>
    </row>
    <row r="247" spans="1:11" ht="19.5">
      <c r="A247" s="21" t="s">
        <v>672</v>
      </c>
      <c r="B247" s="21" t="s">
        <v>673</v>
      </c>
      <c r="C247" s="21" t="s">
        <v>674</v>
      </c>
      <c r="D247" s="21" t="s">
        <v>675</v>
      </c>
      <c r="E247" s="21" t="s">
        <v>676</v>
      </c>
      <c r="F247" s="21"/>
      <c r="G247" s="33">
        <v>28151</v>
      </c>
      <c r="H247" s="37"/>
      <c r="I247" s="32"/>
      <c r="J247" s="32"/>
      <c r="K247" s="32"/>
    </row>
    <row r="248" spans="1:11" ht="19.5">
      <c r="A248" s="21" t="s">
        <v>672</v>
      </c>
      <c r="B248" s="21" t="s">
        <v>677</v>
      </c>
      <c r="C248" s="21" t="s">
        <v>674</v>
      </c>
      <c r="D248" s="21"/>
      <c r="E248" s="21" t="s">
        <v>678</v>
      </c>
      <c r="F248" s="21"/>
      <c r="G248" s="33">
        <v>28195</v>
      </c>
      <c r="H248" s="37"/>
      <c r="I248" s="32"/>
      <c r="J248" s="32"/>
      <c r="K248" s="32"/>
    </row>
    <row r="249" spans="1:11" ht="19.5">
      <c r="A249" s="21" t="s">
        <v>672</v>
      </c>
      <c r="B249" s="21" t="s">
        <v>290</v>
      </c>
      <c r="C249" s="21" t="s">
        <v>679</v>
      </c>
      <c r="D249" s="21" t="s">
        <v>680</v>
      </c>
      <c r="E249" s="21" t="s">
        <v>681</v>
      </c>
      <c r="F249" s="21"/>
      <c r="G249" s="33">
        <v>28182</v>
      </c>
      <c r="H249" s="37"/>
      <c r="I249" s="32"/>
      <c r="J249" s="32"/>
      <c r="K249" s="32"/>
    </row>
    <row r="250" spans="1:11" ht="19.5">
      <c r="A250" s="21" t="s">
        <v>682</v>
      </c>
      <c r="B250" s="21" t="s">
        <v>683</v>
      </c>
      <c r="C250" s="21" t="s">
        <v>684</v>
      </c>
      <c r="D250" s="21" t="s">
        <v>685</v>
      </c>
      <c r="E250" s="21" t="s">
        <v>629</v>
      </c>
      <c r="F250" s="21"/>
      <c r="G250" s="33">
        <v>44917</v>
      </c>
      <c r="H250" s="37"/>
      <c r="I250" s="32"/>
      <c r="J250" s="32"/>
      <c r="K250" s="32"/>
    </row>
    <row r="251" spans="1:11" ht="19.5">
      <c r="A251" s="21" t="s">
        <v>234</v>
      </c>
      <c r="B251" s="21" t="s">
        <v>290</v>
      </c>
      <c r="C251" s="21" t="s">
        <v>686</v>
      </c>
      <c r="D251" s="21" t="s">
        <v>687</v>
      </c>
      <c r="E251" s="21" t="s">
        <v>688</v>
      </c>
      <c r="F251" s="21"/>
      <c r="G251" s="100">
        <v>58865</v>
      </c>
      <c r="H251" s="37"/>
      <c r="I251" s="32"/>
      <c r="J251" s="32"/>
      <c r="K251" s="32"/>
    </row>
    <row r="252" spans="1:11" ht="19.5">
      <c r="A252" s="21" t="s">
        <v>234</v>
      </c>
      <c r="B252" s="21" t="s">
        <v>290</v>
      </c>
      <c r="C252" s="21"/>
      <c r="D252" s="21"/>
      <c r="E252" s="21" t="s">
        <v>688</v>
      </c>
      <c r="F252" s="21"/>
      <c r="G252" s="100">
        <v>58861</v>
      </c>
      <c r="H252" s="37"/>
      <c r="I252" s="32"/>
      <c r="J252" s="32"/>
      <c r="K252" s="32"/>
    </row>
    <row r="253" spans="1:11" ht="19.5">
      <c r="A253" s="21" t="s">
        <v>234</v>
      </c>
      <c r="B253" s="21" t="s">
        <v>290</v>
      </c>
      <c r="C253" s="21" t="s">
        <v>686</v>
      </c>
      <c r="D253" s="21" t="s">
        <v>689</v>
      </c>
      <c r="E253" s="21" t="s">
        <v>688</v>
      </c>
      <c r="F253" s="21"/>
      <c r="G253" s="100">
        <v>58860</v>
      </c>
      <c r="H253" s="37"/>
      <c r="I253" s="32"/>
      <c r="J253" s="32"/>
      <c r="K253" s="32"/>
    </row>
    <row r="254" spans="1:11" ht="19.5">
      <c r="A254" s="21" t="s">
        <v>373</v>
      </c>
      <c r="B254" s="21" t="s">
        <v>690</v>
      </c>
      <c r="C254" s="21" t="s">
        <v>691</v>
      </c>
      <c r="D254" s="21" t="s">
        <v>692</v>
      </c>
      <c r="E254" s="21" t="s">
        <v>688</v>
      </c>
      <c r="F254" s="21"/>
      <c r="G254" s="100">
        <v>58864</v>
      </c>
      <c r="H254" s="37"/>
      <c r="I254" s="32"/>
      <c r="J254" s="32"/>
      <c r="K254" s="32"/>
    </row>
    <row r="255" spans="1:11" ht="19.5">
      <c r="A255" s="21" t="s">
        <v>237</v>
      </c>
      <c r="B255" s="21" t="s">
        <v>254</v>
      </c>
      <c r="C255" s="21" t="s">
        <v>693</v>
      </c>
      <c r="D255" s="21"/>
      <c r="E255" s="21" t="s">
        <v>688</v>
      </c>
      <c r="F255" s="21"/>
      <c r="G255" s="100">
        <v>58862</v>
      </c>
      <c r="H255" s="37" t="s">
        <v>694</v>
      </c>
    </row>
    <row r="256" spans="1:11" ht="19.5">
      <c r="A256" s="21" t="s">
        <v>695</v>
      </c>
      <c r="B256" s="21" t="s">
        <v>696</v>
      </c>
      <c r="C256" s="21"/>
      <c r="D256" s="21"/>
      <c r="E256" s="21" t="s">
        <v>688</v>
      </c>
      <c r="F256" s="21"/>
      <c r="G256" s="100">
        <v>58758</v>
      </c>
      <c r="H256" s="37"/>
    </row>
    <row r="257" spans="1:8" ht="19.5">
      <c r="A257" s="21"/>
      <c r="B257" s="21"/>
      <c r="C257" s="21"/>
      <c r="D257" s="21"/>
      <c r="E257" s="21"/>
      <c r="F257" s="21"/>
      <c r="G257" s="103"/>
      <c r="H257" s="37"/>
    </row>
    <row r="258" spans="1:8" ht="19.5">
      <c r="A258" s="21" t="s">
        <v>234</v>
      </c>
      <c r="B258" s="21" t="s">
        <v>290</v>
      </c>
      <c r="C258" s="21" t="s">
        <v>697</v>
      </c>
      <c r="D258" s="21"/>
      <c r="E258" s="21"/>
      <c r="F258" s="21"/>
      <c r="G258" s="100">
        <v>59880</v>
      </c>
      <c r="H258" s="37"/>
    </row>
    <row r="259" spans="1:8" ht="19.5">
      <c r="A259" s="21" t="s">
        <v>234</v>
      </c>
      <c r="B259" s="21" t="s">
        <v>290</v>
      </c>
      <c r="C259" s="21" t="s">
        <v>698</v>
      </c>
      <c r="D259" s="21"/>
      <c r="E259" s="21" t="str">
        <f>_xlfn.CONCAT(Funcionários!B55)</f>
        <v>LUIS GABRIEL RIBEIRO ARIAS</v>
      </c>
      <c r="F259" s="21" t="str">
        <f>_xlfn.CONCAT(Funcionários!C55)</f>
        <v>RELACIONAMENTO COM O CLIENTE</v>
      </c>
      <c r="G259" s="100">
        <v>59881</v>
      </c>
      <c r="H259" s="37"/>
    </row>
    <row r="260" spans="1:8" ht="19.5">
      <c r="A260" s="21" t="s">
        <v>234</v>
      </c>
      <c r="B260" s="21" t="s">
        <v>290</v>
      </c>
      <c r="C260" s="21" t="s">
        <v>699</v>
      </c>
      <c r="D260" s="21"/>
      <c r="E260" s="21"/>
      <c r="F260" s="21"/>
      <c r="G260" s="100">
        <v>59882</v>
      </c>
      <c r="H260" s="37"/>
    </row>
    <row r="261" spans="1:8" ht="19.5">
      <c r="A261" s="21" t="s">
        <v>234</v>
      </c>
      <c r="B261" s="21" t="s">
        <v>700</v>
      </c>
      <c r="C261" s="21"/>
      <c r="D261" s="21"/>
      <c r="E261" s="21" t="s">
        <v>701</v>
      </c>
      <c r="F261" s="21" t="str">
        <f>_xlfn.CONCAT(Setor!B5)</f>
        <v>RELACIONAMENTO COM O CLIENTE</v>
      </c>
      <c r="G261" s="100">
        <v>60791</v>
      </c>
      <c r="H261" s="37"/>
    </row>
    <row r="262" spans="1:8" ht="19.5">
      <c r="A262" s="21" t="s">
        <v>216</v>
      </c>
      <c r="B262" s="21" t="s">
        <v>211</v>
      </c>
      <c r="C262" s="21" t="s">
        <v>702</v>
      </c>
      <c r="D262" s="21"/>
      <c r="E262" s="21" t="str">
        <f>_xlfn.CONCAT(Funcionários!B105)</f>
        <v>ANDERSON CARVALHO MADEIRA</v>
      </c>
      <c r="F262" s="21" t="str">
        <f>_xlfn.CONCAT(Setor!B6)</f>
        <v>INFRA</v>
      </c>
      <c r="G262" s="100">
        <v>61502</v>
      </c>
      <c r="H262" s="37"/>
    </row>
    <row r="263" spans="1:8" ht="19.5">
      <c r="A263" s="21" t="s">
        <v>373</v>
      </c>
      <c r="B263" s="21" t="s">
        <v>374</v>
      </c>
      <c r="C263" s="21" t="s">
        <v>703</v>
      </c>
      <c r="D263" s="21" t="s">
        <v>704</v>
      </c>
      <c r="E263" s="21" t="str">
        <f>_xlfn.CONCAT(Funcionários!B146)</f>
        <v>FERNANDA GUIMARÃES SANTANA</v>
      </c>
      <c r="F263" s="21" t="str">
        <f>_xlfn.CONCAT(Funcionários!C146)</f>
        <v>INTELIGENCIA DE DADOS</v>
      </c>
      <c r="G263" s="100">
        <v>61475</v>
      </c>
      <c r="H263" s="37"/>
    </row>
    <row r="264" spans="1:8" ht="19.5">
      <c r="A264" s="21" t="s">
        <v>705</v>
      </c>
      <c r="B264" s="21"/>
      <c r="C264" s="21" t="s">
        <v>706</v>
      </c>
      <c r="D264" s="21"/>
      <c r="E264" s="21" t="str">
        <f>_xlfn.CONCAT(Funcionários!B10)</f>
        <v>VINICIUS COELHO</v>
      </c>
      <c r="F264" s="21" t="str">
        <f>_xlfn.CONCAT(Funcionários!C10)</f>
        <v>AGILIDADE</v>
      </c>
      <c r="G264" s="21"/>
      <c r="H264" s="37"/>
    </row>
    <row r="265" spans="1:8" ht="19.5">
      <c r="A265" s="21" t="s">
        <v>705</v>
      </c>
      <c r="B265" s="21"/>
      <c r="C265" s="21" t="s">
        <v>706</v>
      </c>
      <c r="D265" s="21"/>
      <c r="E265" s="21" t="str">
        <f>_xlfn.CONCAT(Funcionários!B147)</f>
        <v>CRISTIANE SOARES</v>
      </c>
      <c r="F265" s="21" t="str">
        <f>_xlfn.CONCAT(Funcionários!C10)</f>
        <v>AGILIDADE</v>
      </c>
      <c r="G265" s="21"/>
      <c r="H265" s="37"/>
    </row>
    <row r="266" spans="1:8" ht="19.5">
      <c r="A266" s="21" t="s">
        <v>234</v>
      </c>
      <c r="B266" s="21" t="s">
        <v>290</v>
      </c>
      <c r="C266" s="21" t="s">
        <v>707</v>
      </c>
      <c r="D266" s="21" t="s">
        <v>708</v>
      </c>
      <c r="E266" s="21" t="str">
        <f>_xlfn.CONCAT(Funcionários!B146)</f>
        <v>FERNANDA GUIMARÃES SANTANA</v>
      </c>
      <c r="F266" s="21" t="str">
        <f>_xlfn.CONCAT(Funcionários!C146)</f>
        <v>INTELIGENCIA DE DADOS</v>
      </c>
      <c r="G266" s="100">
        <v>61908</v>
      </c>
      <c r="H266" s="37"/>
    </row>
    <row r="267" spans="1:8" ht="19.5">
      <c r="A267" s="21" t="s">
        <v>373</v>
      </c>
      <c r="B267" s="21" t="s">
        <v>374</v>
      </c>
      <c r="C267" s="21" t="s">
        <v>530</v>
      </c>
      <c r="D267" s="21" t="s">
        <v>709</v>
      </c>
      <c r="E267" s="21" t="str">
        <f>_xlfn.CONCAT(Funcionários!B94)</f>
        <v>FAGNER GUSTAVO TOLEDO PEDROZO</v>
      </c>
      <c r="F267" s="21" t="str">
        <f>_xlfn.CONCAT(Funcionários!C94)</f>
        <v>RELACIONAMENTO COM O CLIENTE</v>
      </c>
      <c r="G267" s="100">
        <v>63351</v>
      </c>
      <c r="H267" s="37"/>
    </row>
    <row r="268" spans="1:8" ht="19.5">
      <c r="A268" s="21" t="s">
        <v>710</v>
      </c>
      <c r="B268" s="21" t="s">
        <v>211</v>
      </c>
      <c r="C268" s="21" t="s">
        <v>702</v>
      </c>
      <c r="D268" s="21"/>
      <c r="E268" s="21" t="str">
        <f>_xlfn.CONCAT(Funcionários!B68)</f>
        <v>RICARDO SOARES</v>
      </c>
      <c r="F268" s="21" t="str">
        <f>_xlfn.CONCAT(Funcionários!C68)</f>
        <v>RELACIONAMENTO COM O CLIENTE</v>
      </c>
      <c r="G268" s="100">
        <v>64054</v>
      </c>
      <c r="H268" s="37"/>
    </row>
    <row r="269" spans="1:8" ht="19.5">
      <c r="A269" s="21"/>
      <c r="B269" s="21"/>
      <c r="C269" s="21"/>
      <c r="D269" s="21"/>
      <c r="E269" s="21"/>
      <c r="F269" s="21"/>
      <c r="G269" s="21"/>
      <c r="H269" s="37"/>
    </row>
    <row r="270" spans="1:8" ht="19.5">
      <c r="A270" s="21"/>
      <c r="B270" s="21"/>
      <c r="C270" s="21"/>
      <c r="D270" s="21"/>
      <c r="E270" s="21"/>
      <c r="F270" s="21"/>
      <c r="G270" s="21"/>
      <c r="H270" s="37"/>
    </row>
  </sheetData>
  <hyperlinks>
    <hyperlink ref="G127" r:id="rId1" display="5750" xr:uid="{9E89B0AE-F658-47E0-A759-48B1C1DA33E0}"/>
    <hyperlink ref="G36" r:id="rId2" display="26037" xr:uid="{57501C37-B438-45D9-80DC-271EFB87796C}"/>
    <hyperlink ref="G83" r:id="rId3" display="26041" xr:uid="{473DB05C-C072-4AE5-ACE7-08DE60D783B6}"/>
    <hyperlink ref="G47" r:id="rId4" display="26047" xr:uid="{59F6A1F9-EA4E-4499-AD97-A9B6CCC2F8C0}"/>
    <hyperlink ref="G130" r:id="rId5" display="26042" xr:uid="{178F8197-ED8F-4558-9955-2078E360FC24}"/>
    <hyperlink ref="G128" r:id="rId6" display="10964" xr:uid="{FBA9A621-EA3B-494D-B1FA-53610B07A443}"/>
    <hyperlink ref="G48" r:id="rId7" display="26046" xr:uid="{6B11EAC0-E64F-4514-B1C0-8F814BD08C97}"/>
    <hyperlink ref="G131" r:id="rId8" display="10975" xr:uid="{3A0F6C70-EFF9-41BE-8D7A-5B83094EEAC5}"/>
    <hyperlink ref="G6" r:id="rId9" display="https://maisinternet.sharepoint.com/:f:/s/TI357/Elfojr6iXMJFuC_MT-ZViQEBoSNd9WHLssfp_8yTYTFNdA?e=cNXTR2" xr:uid="{DEDC8894-E2BA-48A8-9C22-3E7316177311}"/>
    <hyperlink ref="G133" r:id="rId10" display="https://maisinternet.sharepoint.com/:f:/s/TI357/Emxn98LJMApEhNwdy_8gfrkBJEmdX7EcccdvKE9FsIZQSA?e=igFyYo" xr:uid="{71B49737-31E7-4F94-99A8-4665768667C1}"/>
    <hyperlink ref="G49" r:id="rId11" display="https://maisinternet.sharepoint.com/:f:/s/TI357/EpPsO_yCT2VFsfbx-SF7PMwBVS-lAvJazWlD_222BOaaqg?e=RkFizf" xr:uid="{896B1C7D-A12A-4CA9-B8DB-555BBC44B476}"/>
    <hyperlink ref="G132" r:id="rId12" display="https://maisinternet.sharepoint.com/:f:/s/TI357/Eko35LJNRmpAtPzy60p8CMEB4FI4EPKdkYqlbf-e2iLVJA?e=nGguIu" xr:uid="{E84EDECA-AD5C-4495-8EAE-595053FC0873}"/>
    <hyperlink ref="G247" r:id="rId13" display="https://maisinternet.sharepoint.com/:f:/s/TI357/EoEMPuzKJBdCusLqoxKPZYEBtTylNiquGT_sLSukIss7nQ?e=subPgp" xr:uid="{D418A631-B003-493B-A3C3-31C365AB94F7}"/>
    <hyperlink ref="G50" r:id="rId14" display="https://maisinternet.sharepoint.com/:f:/s/TI357/ElxeYM87XLNIpmJk80fYQv4BrZ4fgFu1rXe4vnrXXwBRcw?e=Xq44EX" xr:uid="{2DCB8709-B5ED-466B-89A9-C00A6C469760}"/>
    <hyperlink ref="G55" r:id="rId15" display="https://maisinternet.sharepoint.com/:f:/s/TI357/ErEj6spHyh5OlFF-8leYtpUBHanFWf9QKBH0UID8-Blx2A?e=e17epO" xr:uid="{7AE59F29-BDBB-4285-9B8B-340D02FEAD20}"/>
    <hyperlink ref="G228" r:id="rId16" display="https://maisinternet.sharepoint.com/:f:/s/TI357/EnW4vbgTbQBHldx5iDLy7q8BRCDNZe9m8Lap2Jt2-obeJA?e=h4ocNu" xr:uid="{2A7CC0B4-B41A-4FFD-8EC2-6F777C275772}"/>
    <hyperlink ref="G229" r:id="rId17" display="https://maisinternet.sharepoint.com/:f:/s/TI357/EhdJfFIdxeZCuG7G8I5WM54Bh8HK98iMxn5OzLBmUXddfw?e=xQXxUy" xr:uid="{36549325-D6F5-4A55-8A40-A79743EA8807}"/>
    <hyperlink ref="G56" r:id="rId18" display="https://maisinternet.sharepoint.com/:f:/s/TI357/Eq3NAu2Zgf9OrhrFb60N1usB4m-ZCEYOWeBcx6RlVdowrA?e=HaYJDl" xr:uid="{27B3DE70-9B0E-4520-B295-C1659DA1D549}"/>
    <hyperlink ref="G136" r:id="rId19" display="https://maisinternet.sharepoint.com/:f:/s/TI357/EpM4wxZ6LuRHsvl4bswJYhUBwGkuAe9Jdgl4YGqkNJWG9Q?e=22aKdO" xr:uid="{5F7361B0-42F5-42DA-8E53-1CE20AAF7687}"/>
    <hyperlink ref="G57" r:id="rId20" display="https://maisinternet.sharepoint.com/:f:/s/TI357/EutGCt96p5JGg6iwBiL1-uYBHGu0tYSScGE-zb4GMSf0qw?e=88BqRM" xr:uid="{21E22F29-E8BD-4A8A-BA69-3B6E3F7EE30C}"/>
    <hyperlink ref="G230" r:id="rId21" display="https://maisinternet.sharepoint.com/:f:/s/TI357/EteBgFqzlFJFpP5JvMhQ2REBjFRwAX3SFfygVfM3Al-Mcw?e=RaUktp" xr:uid="{10C90231-1CCB-4D60-B7AE-5E195FA0CD5C}"/>
    <hyperlink ref="G231" r:id="rId22" display="https://maisinternet.sharepoint.com/:f:/s/TI357/EpnVsBztb_5Cvsf3lSLZ1zIBEPUoLNhh7TeXTRD8Rl1Pgg?e=mwvcW8" xr:uid="{E609E9CA-3B83-48F6-8118-0D094215E0EB}"/>
    <hyperlink ref="G58" r:id="rId23" display="https://maisinternet.sharepoint.com/:f:/s/TI357/EpnZ8yPKK_5IrVSTn_VOzi0BIMK0-PYN8aULVAp6WSa_6g?e=lWFoFh" xr:uid="{F3036B13-9774-401F-9E3E-8CBE78C91194}"/>
    <hyperlink ref="G137" r:id="rId24" display="https://maisinternet.sharepoint.com/:f:/s/TI357/EtxdXP8i74BFrfHsYHs98dMB8v0wcQ0J3SxKcpbeV7OFnQ?e=hsWoOe" xr:uid="{56B0CC02-00CD-404F-AC2E-8C4CD191FA97}"/>
    <hyperlink ref="G16" r:id="rId25" display="https://maisinternet.sharepoint.com/:f:/s/TI357/Er50aAhLeftBsfykuXED_kwB0uKp4D3GZYJx241fcI6ATw?e=gkEHG4" xr:uid="{9275FC3A-CA55-44FA-9688-0B92EBC8CADC}"/>
    <hyperlink ref="G139" r:id="rId26" display="https://maisinternet.sharepoint.com/:f:/s/TI357/EmuH-bCSjilPtVQ71sbxK_gBpC3s4vrEEpCjnr7k40eU_w?e=ABCBgm" xr:uid="{C207BC26-1753-4477-B21F-66B5BEF3E6B0}"/>
    <hyperlink ref="G141" r:id="rId27" display="https://maisinternet.sharepoint.com/:f:/s/TI357/Eu0G037482hOpaA0NxndK6MBE6x_D1t2WJh79Pcq0t9biQ?e=nHyeOe" xr:uid="{F4187D98-A488-4E0A-B6EC-E39399D4A7EB}"/>
    <hyperlink ref="G249" r:id="rId28" display="https://maisinternet.sharepoint.com/:f:/s/TI357/EgSSrlvSE8FChxP-bqtR194BqZ1n7uFpnikp2P67bV4ypA?e=tFbNG6" xr:uid="{02414B46-2069-480B-AD75-7A3B6EDE4881}"/>
    <hyperlink ref="G248" r:id="rId29" display="https://maisinternet.sharepoint.com/:f:/s/TI357/EsJWb5IDwDlNt1x7E67aHC0BssmME4PERa-JBnDdJ5NAtw?e=WZHMTv" xr:uid="{CC209773-2D90-458A-BD38-36BC7E22B175}"/>
    <hyperlink ref="G60" r:id="rId30" display="https://maisinternet.sharepoint.com/:f:/s/TI357/EtU0apVuaFRItO2S6d_EC3UB-B2mgywRsQ3_Ie4_qc686w?e=lO7bnl" xr:uid="{E444DDF2-E33A-4476-B71F-87FC4E78B763}"/>
    <hyperlink ref="G232" r:id="rId31" display="https://maisinternet.sharepoint.com/:f:/s/TI357/Eo2e0qZtzpJNmGlVFs8f91cBltzA5CwNY0SDFhl93j1TAg?e=H1zaJC" xr:uid="{4C1E3650-135D-4541-A942-4C80A0647763}"/>
    <hyperlink ref="G233" r:id="rId32" display="28194" xr:uid="{985650B6-395C-46E7-A6E5-49CB4A659758}"/>
    <hyperlink ref="G234" r:id="rId33" display="28173" xr:uid="{D3F885EF-05F5-455B-A6A5-ED84A2F41725}"/>
    <hyperlink ref="G235" r:id="rId34" display="28160" xr:uid="{10B937B8-2CD3-4CC8-AABA-AB7A86E9251D}"/>
    <hyperlink ref="G61" r:id="rId35" display="28175" xr:uid="{00ADCAED-1519-443A-A8E7-6EC3A9BDF9A7}"/>
    <hyperlink ref="G134" r:id="rId36" display="27503" xr:uid="{4052E0C1-A6A0-4931-BE1D-73BE157E0F52}"/>
    <hyperlink ref="G43" r:id="rId37" display="28180" xr:uid="{BF2D3F54-C2B6-49B4-882C-2EF93B936899}"/>
    <hyperlink ref="G140" r:id="rId38" display="https://maisinternet.sharepoint.com/:f:/s/TI357/EnG0-eMgVXhDmhqd-V9gw5UBgHclhoWrzoHbD6VuVQoN8w?e=G3gYcD" xr:uid="{1E3D0FB2-1BD6-4A5C-A2E6-0CFDA1BC52ED}"/>
    <hyperlink ref="G236" r:id="rId39" display="https://maisinternet.sharepoint.com/:f:/s/TI357/EglQHsEbTtJApgaKPm1jqHEBMxzm8FkTDZ0ixNBybQoBuw?e=6T79YW" xr:uid="{0F16AAE1-5A8F-408B-BB2A-4F18A935225E}"/>
    <hyperlink ref="G142" r:id="rId40" display="https://maisinternet.sharepoint.com/:f:/s/TI357/ErAzBymq0QdGih0XWxSbbmkBoYZTe8ZdnwsNL_j6bTXRgw?e=30jmV5" xr:uid="{3C5A9B31-2C67-4D8F-A948-532655057A4B}"/>
    <hyperlink ref="G225" r:id="rId41" display="https://maisinternet.sharepoint.com/:f:/s/TI357/Eqaom4X_eXVHlqKwGfUGMDgBJx4mi6pxUu9KeaZw21nWcQ?e=M7FteL" xr:uid="{57282AE1-E50C-41F3-AAE0-B74DBB6B2BBB}"/>
    <hyperlink ref="G237" r:id="rId42" display="https://maisinternet.sharepoint.com/:f:/s/TI357/EsonkRjsDOVGo0XoyvCL4h0Bmjht6oWACSDAfDKKbsVIWQ?e=vsaoS2" xr:uid="{3E97B005-E04E-4FF3-81D8-9657B1DAE4E6}"/>
    <hyperlink ref="G238" r:id="rId43" display="https://maisinternet.sharepoint.com/:f:/s/TI357/Ei1Su_a5ZuJMhkWQqiBwmcEBt4ilzsLnlynyKFO8x7GPMA?e=wcyqlS" xr:uid="{A86C5159-58DC-4506-9717-471300778778}"/>
    <hyperlink ref="G125" r:id="rId44" display="28752" xr:uid="{C951D222-1D95-4BF8-BF1C-1999EEB7210A}"/>
    <hyperlink ref="G123" r:id="rId45" display="28753" xr:uid="{4833609D-D6EC-415F-AAF4-F13E702CB996}"/>
    <hyperlink ref="G174" r:id="rId46" display="28754" xr:uid="{649E4522-7456-4270-90E9-D1EEC57300A9}"/>
    <hyperlink ref="G144" r:id="rId47" display="https://maisinternet.sharepoint.com/:f:/s/TI357/Etjnsnu2N9NIn610A6zu-WwBN9Y_trNXj2x9Ndcymy5WLQ?e=fIAFPf" xr:uid="{C918F181-280A-4908-B2F0-A4ACD4DDB5B9}"/>
    <hyperlink ref="G189" r:id="rId48" display="https://maisinternet.sharepoint.com/:f:/s/TI357/EuwNAVbErqlMgL6pE8PWxPgByVTnWPrEWHjP1EB5t-RskA?e=p4QRBv" xr:uid="{67F302BD-F13C-4104-9337-5B0AF83D4E1A}"/>
    <hyperlink ref="G145" r:id="rId49" display="https://maisinternet.sharepoint.com/:f:/s/TI357/ErIxZpHLedBKlVrnmMS3rvkBoRYS0iKRj9izQakKbMUd1g?e=N8KqX4" xr:uid="{54682CAB-1F58-4A83-8C35-37BB1FEACBFA}"/>
    <hyperlink ref="G146" r:id="rId50" display="https://maisinternet.sharepoint.com/:f:/s/TI357/Eq1v6kDNZapGqyCL5yOWbPUBUdHRQAMxy3S8nmNWRy4GwA?e=kQOzdj" xr:uid="{E02CDC94-B5EB-4C56-89C0-9BA675E5C00C}"/>
    <hyperlink ref="G62" r:id="rId51" display="28184" xr:uid="{E525186B-111F-4E50-BF7B-15EB36D16301}"/>
    <hyperlink ref="G148" r:id="rId52" display="28784" xr:uid="{5979478F-1D6F-4EFC-A7AA-B8777FE5EFFF}"/>
    <hyperlink ref="G149" r:id="rId53" display="28796" xr:uid="{BA8527EF-9BEF-48C8-B8B6-267A9AF85542}"/>
    <hyperlink ref="G63" r:id="rId54" display="https://maisinternet.sharepoint.com/:f:/s/TI357/EpBEflr83mtPkmoNH83ND1ABqJ0BMiKFzDm_1s6XgirYFQ?e=f02LWd" xr:uid="{6A9A0A9E-5908-495C-8ED9-9448E4674ABC}"/>
    <hyperlink ref="G64" r:id="rId55" display="28788" xr:uid="{E3F7B134-38FF-41AB-A6EA-2C813BC48B71}"/>
    <hyperlink ref="G147" r:id="rId56" display="10974" xr:uid="{CF011D86-5A0E-42D6-831A-68F2A9140DE3}"/>
    <hyperlink ref="G191" r:id="rId57" display="28779" xr:uid="{81CC040E-9BE9-4620-A595-E169130920FC}"/>
    <hyperlink ref="G173" r:id="rId58" display="28798" xr:uid="{D196011C-984D-4665-B8FE-DE761E2B8D54}"/>
    <hyperlink ref="G70" r:id="rId59" display="28768" xr:uid="{0CE31280-C633-4D7A-90FA-C80D3CB32821}"/>
    <hyperlink ref="G59" r:id="rId60" display="28790" xr:uid="{E0258101-6E0B-47B7-A72A-64D39E9729CB}"/>
    <hyperlink ref="G44" r:id="rId61" display="28791" xr:uid="{33699A5A-008A-4113-AEFE-9FADB8B8D7FA}"/>
    <hyperlink ref="G150" r:id="rId62" display="28781" xr:uid="{344C7211-583B-4036-8EF6-7C44499E88C8}"/>
    <hyperlink ref="G151" r:id="rId63" display="28794" xr:uid="{C96204C1-59CB-400C-A4CA-943EC0E14682}"/>
    <hyperlink ref="G152" r:id="rId64" display="28782" xr:uid="{38B4FA45-13B5-45C1-A29C-79048D37125E}"/>
    <hyperlink ref="G74" r:id="rId65" display="28786" xr:uid="{02805E2C-16D0-4DD0-8D43-782115A38B4D}"/>
    <hyperlink ref="G65" r:id="rId66" display="28196" xr:uid="{C6A7026B-CCAD-4F6A-874B-5BBE1283849A}"/>
    <hyperlink ref="G226" r:id="rId67" display="28785" xr:uid="{BCD63BB0-CB6C-406E-AF9D-CB4645C9C3B6}"/>
    <hyperlink ref="G153" r:id="rId68" display="28783" xr:uid="{EA822CD0-6C91-4C2A-ABFC-A486F06490CD}"/>
    <hyperlink ref="G154" r:id="rId69" display="28778" xr:uid="{3B62F540-E07D-4923-9070-76A7685E9C2B}"/>
    <hyperlink ref="G193" r:id="rId70" display="29800" xr:uid="{E8DCE8DF-7D73-427D-8066-B18539AFFAD1}"/>
    <hyperlink ref="G192" r:id="rId71" display="29799" xr:uid="{9B3EE787-678C-4DB3-8946-033641581D15}"/>
    <hyperlink ref="G155" r:id="rId72" display="29753" xr:uid="{102F97F7-EEC9-4380-8EA7-3257C55E8C57}"/>
    <hyperlink ref="G156" r:id="rId73" display="29752" xr:uid="{FDD736A1-3E5F-4EB8-BA9A-CB3770D387D5}"/>
    <hyperlink ref="G188" r:id="rId74" display="29751" xr:uid="{FE711DF1-6D70-46A8-B9DC-A107A602D509}"/>
    <hyperlink ref="G71" r:id="rId75" display="29754" xr:uid="{62A8B5C8-6D0C-4AC5-A393-EE62911D779E}"/>
    <hyperlink ref="G157" r:id="rId76" display="30570" xr:uid="{5A9412B7-C7C2-4EF4-9047-1BF981B5B207}"/>
    <hyperlink ref="G194" r:id="rId77" display="30572" xr:uid="{9C031127-9682-49E1-A09D-7D5196E0C06E}"/>
    <hyperlink ref="G195" r:id="rId78" display="30573" xr:uid="{63821530-161B-4D1D-B2B5-FC2DD314B280}"/>
    <hyperlink ref="G159" r:id="rId79" display="30571" xr:uid="{C5823A71-6AF1-4C08-A5DA-17F46901510B}"/>
    <hyperlink ref="G158" r:id="rId80" display="30740" xr:uid="{69897FC8-D08A-45D3-9FB9-75056585F9F8}"/>
    <hyperlink ref="G227" r:id="rId81" display="30739" xr:uid="{A4C0E599-3551-48ED-B8E6-C01F18132EC0}"/>
    <hyperlink ref="G239" r:id="rId82" display="30738" xr:uid="{49899990-B837-4914-BCC5-BB7D10F4F7C6}"/>
    <hyperlink ref="G20" r:id="rId83" display="31851" xr:uid="{E29C73B7-DCD6-4597-BB88-8101F635EDF1}"/>
    <hyperlink ref="G160" r:id="rId84" display="31866" xr:uid="{EA39C188-8997-45C8-A3D7-FCDEBF64DD85}"/>
    <hyperlink ref="G161" r:id="rId85" display="31853" xr:uid="{37859705-A3B6-46D3-BEE6-D7655D2AECAE}"/>
    <hyperlink ref="G196" r:id="rId86" display="31867" xr:uid="{80E38868-D494-41D2-8B8B-82D42D831C9A}"/>
    <hyperlink ref="G162" r:id="rId87" display="31875" xr:uid="{BEC0C491-B60E-4B0D-B832-7B446522F774}"/>
    <hyperlink ref="G240" r:id="rId88" display="31890" xr:uid="{BEDEDF3E-A249-4919-9872-258FE3039C59}"/>
    <hyperlink ref="G7" r:id="rId89" display="https://maisinternet.sharepoint.com/sites/TI357/Documentos%20Compartilhados/Forms/AllItems.aspx?id=%2Fsites%2FTI357%2FDocumentos%20Compartilhados%2FControle%20Patrimonio%20TI%2F006166&amp;viewid=cea8db25%2D4708%2D4c20%2D898a%2D4b1dc7da221f" xr:uid="{CFD972E0-7CD1-4D70-81CA-E51A187DB1A5}"/>
    <hyperlink ref="G200" r:id="rId90" display="https://maisinternet.sharepoint.com/sites/TI357/Documentos%20Compartilhados/Forms/AllItems.aspx?id=%2Fsites%2FTI357%2FDocumentos%20Compartilhados%2FControle%20Patrimonio%20TI%2F031873&amp;viewid=cea8db25%2D4708%2D4c20%2D898a%2D4b1dc7da221f" xr:uid="{C91C2544-65E4-4F75-999E-476F543744C5}"/>
    <hyperlink ref="G241" r:id="rId91" display="31880" xr:uid="{7AB5F1AC-FDA6-44AA-8F47-84014541046A}"/>
    <hyperlink ref="G242" r:id="rId92" display="31882" xr:uid="{91957F75-4D2C-4A24-A435-849C31601C94}"/>
    <hyperlink ref="G9" r:id="rId93" display="31894" xr:uid="{C8725D7B-7F52-4C54-9640-E3028F6A9862}"/>
    <hyperlink ref="G244" r:id="rId94" display="31891" xr:uid="{464E744B-D853-41FC-A747-351FD37B3F7C}"/>
    <hyperlink ref="H9" r:id="rId95" xr:uid="{A439CB42-B43B-4499-A393-C203F4D48B7F}"/>
    <hyperlink ref="H214" r:id="rId96" xr:uid="{42A10D5B-1F85-4C3F-80A1-C4334E6C2D92}"/>
    <hyperlink ref="G214" r:id="rId97" display="31859" xr:uid="{4930E552-2B43-49B3-903C-6EC4B8AC5C10}"/>
    <hyperlink ref="G243" r:id="rId98" display="31860" xr:uid="{275D5D16-D5AF-4F02-A8CB-6FEA585C4E28}"/>
    <hyperlink ref="H16" r:id="rId99" xr:uid="{EF5D4C86-6338-4BC9-A111-8C672743B882}"/>
    <hyperlink ref="G163" r:id="rId100" display="31876" xr:uid="{39F88DF8-ECD2-49C4-B62B-8D228C63C4FC}"/>
    <hyperlink ref="G164" r:id="rId101" display="31874" xr:uid="{74B06466-E18C-4581-AC17-BBED73DCCBE6}"/>
    <hyperlink ref="G165" r:id="rId102" display="31895" xr:uid="{60D645D3-46EF-4BE9-96A0-472533CDC920}"/>
    <hyperlink ref="G166" r:id="rId103" display="33989" xr:uid="{7AE73CB0-0F22-4968-B9BD-9D1CDDC8081E}"/>
    <hyperlink ref="G168" r:id="rId104" display="31863" xr:uid="{DCAC474D-0466-43C5-AAED-FAAA6EE921B4}"/>
    <hyperlink ref="H13" r:id="rId105" xr:uid="{741BA1F5-76F9-409E-B882-ECBED09E8B1A}"/>
    <hyperlink ref="G76" r:id="rId106" display="31879" xr:uid="{A8F9E35F-8FF5-4CE8-A13B-4B2B918AAE7A}"/>
    <hyperlink ref="G75" r:id="rId107" display="33999" xr:uid="{C6387DFA-585F-4BB8-9A49-A9C24BAD5A77}"/>
    <hyperlink ref="H217" r:id="rId108" xr:uid="{6C697EF5-5D8F-4DB3-BF77-10CBA4412CB5}"/>
    <hyperlink ref="G217" r:id="rId109" display="31877" xr:uid="{9BCA8CAC-AECD-478E-B105-E3145BF4EB29}"/>
    <hyperlink ref="G216" r:id="rId110" display="31871" xr:uid="{F26EDA6F-64C2-4596-9D50-C30B24EDF602}"/>
    <hyperlink ref="H216" r:id="rId111" xr:uid="{3522A479-0542-4B31-ADC2-9FC508E2F25E}"/>
    <hyperlink ref="G190" r:id="rId112" display="31862" xr:uid="{4B4ECAF8-C04F-4979-9E2A-46C7D0F7A8F5}"/>
    <hyperlink ref="G199" r:id="rId113" display="33998" xr:uid="{3D5A379C-AC0B-4196-8149-E759B28FE844}"/>
    <hyperlink ref="G84" r:id="rId114" display="45317" xr:uid="{2FBD26E6-E4DF-4676-8ACC-6C6BD744E67F}"/>
    <hyperlink ref="G69" r:id="rId115" display="31886" xr:uid="{FB2DF489-843A-400F-874A-62E70221FA7B}"/>
    <hyperlink ref="G68" r:id="rId116" display="37699" xr:uid="{FB38C115-2B32-469D-A14C-118BDD08B1F4}"/>
    <hyperlink ref="G73" r:id="rId117" display="37700" xr:uid="{EFEE80F7-FED3-4103-B2FA-9B7FE3900C81}"/>
    <hyperlink ref="G72" r:id="rId118" display="37761" xr:uid="{E0B5F403-5A90-4A9E-A51C-D128FB86BF42}"/>
    <hyperlink ref="G205" r:id="rId119" display="37763" xr:uid="{FC2AA7A2-70A4-4BB8-B1B2-B3026BDD8AB0}"/>
    <hyperlink ref="H12" r:id="rId120" xr:uid="{91BFED03-79F3-48F0-9751-D99F2C4A84C6}"/>
    <hyperlink ref="G215" r:id="rId121" display="31854" xr:uid="{042665CF-1580-4345-9551-241E8BD8E1BC}"/>
    <hyperlink ref="G245" r:id="rId122" display="31884" xr:uid="{5FDEC229-F787-42C9-B145-AC8EBCA46493}"/>
    <hyperlink ref="G13" r:id="rId123" display="33986" xr:uid="{6CE302D6-F9E4-4C3A-88DD-2CCC343D1215}"/>
    <hyperlink ref="G167" r:id="rId124" display="31881" xr:uid="{D3741970-1516-44B9-A2B6-E624DD33802D}"/>
    <hyperlink ref="G12" r:id="rId125" display="37762" xr:uid="{D2B163FA-EDB0-4599-8ED6-8D8F5D3B03F3}"/>
    <hyperlink ref="G90" r:id="rId126" display="37764" xr:uid="{5A7EA63F-0BB8-41EE-91E0-AA2D74C606FA}"/>
    <hyperlink ref="G11" r:id="rId127" display="37765" xr:uid="{94D17BE2-1E18-4974-A1CC-0AE919C0F896}"/>
    <hyperlink ref="G24" r:id="rId128" display="39650" xr:uid="{CF29DE83-13C0-468A-AB12-C24C4E4BF051}"/>
    <hyperlink ref="G5" r:id="rId129" display="6164" xr:uid="{B6F99D4F-1F27-4725-8D18-CAB2200CAF5D}"/>
    <hyperlink ref="G25" r:id="rId130" display="40037" xr:uid="{DA1A76B8-90DE-4EB1-AFFA-C5E20508C2E6}"/>
    <hyperlink ref="G40" r:id="rId131" display="40181" xr:uid="{3377CBDD-D8CB-42F3-A9C7-A375BDE1CE68}"/>
    <hyperlink ref="G92" r:id="rId132" display="40389" xr:uid="{D10CE4E8-6B8B-438A-9876-3AFDAC76E0CE}"/>
    <hyperlink ref="G93" r:id="rId133" display="40388" xr:uid="{4232B9B4-A9BA-439E-BF0D-075F507C520D}"/>
    <hyperlink ref="G124" r:id="rId134" display="40391" xr:uid="{9BA96DF4-398C-4F87-B7FB-E55159118EAD}"/>
    <hyperlink ref="G39" r:id="rId135" display="40182" xr:uid="{40C08068-3D14-45E4-803E-6EDA4EFACFD5}"/>
    <hyperlink ref="G122" r:id="rId136" display="40390" xr:uid="{8E640FA5-825B-4489-90A1-31D2167735B6}"/>
    <hyperlink ref="G105" r:id="rId137" display="40392" xr:uid="{DD47E29B-1D6A-41CA-86F1-59EBF42E16D0}"/>
    <hyperlink ref="G10" r:id="rId138" display="40393" xr:uid="{7779806F-3059-4ADF-9CFB-76B9F1622151}"/>
    <hyperlink ref="H10" r:id="rId139" xr:uid="{23BE8A53-12A8-4C11-8773-1D123351662C}"/>
    <hyperlink ref="G85" r:id="rId140" display="40394" xr:uid="{FED33B7D-6EC3-4F79-8BA2-63F6DCE2F8AE}"/>
    <hyperlink ref="G35" r:id="rId141" display="40386" xr:uid="{0A59C912-D57A-46DF-AE7D-8FB6550C532D}"/>
    <hyperlink ref="G34" r:id="rId142" display="40397" xr:uid="{08B1CCD4-B95F-4095-81F1-652F99740A17}"/>
    <hyperlink ref="G33" r:id="rId143" display="40398" xr:uid="{AD79D71A-2FB5-41E2-8B8D-D3CD5ECD3200}"/>
    <hyperlink ref="G32" r:id="rId144" display="40396" xr:uid="{EB5EBEB2-CBC1-43B6-9DE1-60DD978F6DDA}"/>
    <hyperlink ref="G115" r:id="rId145" display="40387" xr:uid="{4AD0809D-AA25-4760-BE3C-B97DCA871A71}"/>
    <hyperlink ref="G112" r:id="rId146" display="40351" xr:uid="{588DE0E1-92AC-4B76-B9E8-F3BEB331BEF8}"/>
    <hyperlink ref="G38" r:id="rId147" display="40382" xr:uid="{33F4098E-B196-4609-A470-35665E6E7E31}"/>
    <hyperlink ref="G37" r:id="rId148" display="40483" xr:uid="{92E0629A-846D-4BDF-BDB8-C027D6D486E6}"/>
    <hyperlink ref="G67" r:id="rId149" display="40384" xr:uid="{302FE4B5-14BF-4B91-B992-49619E89B1B5}"/>
    <hyperlink ref="G204" r:id="rId150" display="40385" xr:uid="{1597D0A1-837A-4CA6-BDFE-39DF139FCA17}"/>
    <hyperlink ref="H204" r:id="rId151" xr:uid="{40E01A3F-FB5F-4E64-B41F-50D5AFC6E1BE}"/>
    <hyperlink ref="G42" r:id="rId152" display="42138" xr:uid="{D2801C13-A24E-4A03-B3D4-C95F12CBFDC3}"/>
    <hyperlink ref="G113" r:id="rId153" display="42139" xr:uid="{EF5FBA4E-EE0E-4B21-8FF3-13708F3BAE8C}"/>
    <hyperlink ref="G114" r:id="rId154" display="42140" xr:uid="{CE65A5F0-05AD-44F7-AC2D-3BA72822568C}"/>
    <hyperlink ref="G126" r:id="rId155" display="27191" xr:uid="{2A526C06-2700-4699-BE7D-7AA31D3C9643}"/>
    <hyperlink ref="G212" r:id="rId156" display="42141" xr:uid="{8BD1EB52-0AC6-436B-8B09-A44887FDAF67}"/>
    <hyperlink ref="G213" r:id="rId157" display="42148" xr:uid="{8B45C614-08CD-4229-876A-D503F6A1F23A}"/>
    <hyperlink ref="G211" r:id="rId158" display="42147" xr:uid="{D3527A34-0ED0-4F12-957D-5CB32B6D11D5}"/>
    <hyperlink ref="G197" r:id="rId159" display="42450" xr:uid="{EABEF900-2173-4E30-A5DC-0A45FB70D8AD}"/>
    <hyperlink ref="G14" r:id="rId160" display="https://maisinternet.sharepoint.com/:f:/s/TI357/ElJ_tJDn9-ZIhXooxxNtJksB11VTEcHePUDTXiAOkHoCug?e=f4XCv1" xr:uid="{432E5A09-0108-4268-A62B-B228C29BD21C}"/>
    <hyperlink ref="G210" r:id="rId161" display="42146" xr:uid="{E3A0CBEF-EE6C-48B1-B62D-E92777AD6F36}"/>
    <hyperlink ref="G209" r:id="rId162" display="43847" xr:uid="{06C231E8-C72C-44FC-961E-72421522563F}"/>
    <hyperlink ref="G208" r:id="rId163" display="43843" xr:uid="{88CB92CD-964B-453D-9423-D7509C1CF164}"/>
    <hyperlink ref="G207" r:id="rId164" display="43842" xr:uid="{C91DF1F3-68F1-4FB6-9CD5-55D6F21E729A}"/>
    <hyperlink ref="G206" r:id="rId165" display="43848" xr:uid="{333A3B1C-A0D6-4DCB-98E8-C7A86F909174}"/>
    <hyperlink ref="G45" r:id="rId166" display="43849" xr:uid="{61C5A809-44D2-4071-BFC7-6E179C83CA3F}"/>
    <hyperlink ref="G54" r:id="rId167" display="43840" xr:uid="{F0842C44-DB68-49BA-A88A-2D2BD325F70C}"/>
    <hyperlink ref="G53" r:id="rId168" display="43846" xr:uid="{2A482BF6-13D6-4E3C-9F58-19B48D5E44EB}"/>
    <hyperlink ref="G52" r:id="rId169" display="43844" xr:uid="{65A586FC-BB47-4EF6-89B7-BB814A713397}"/>
    <hyperlink ref="G51" r:id="rId170" display="43837" xr:uid="{9D3308B2-820D-4CCD-A996-42D733BC575A}"/>
    <hyperlink ref="G121" r:id="rId171" display="43845" xr:uid="{67B2AD29-F89E-4C12-972E-DCF0A34CDFD1}"/>
    <hyperlink ref="G119" r:id="rId172" display="42150" xr:uid="{B1F2876E-CAB1-4BA0-9DF2-63D92118B9EA}"/>
    <hyperlink ref="G120" r:id="rId173" display="43838" xr:uid="{57233F0B-942C-4709-900C-89D12A828820}"/>
    <hyperlink ref="G118" r:id="rId174" display="43839" xr:uid="{1337DABF-2462-4F10-8DF2-F832739F6CF0}"/>
    <hyperlink ref="G117" r:id="rId175" display="43836" xr:uid="{1128D0A4-983D-4938-AF5C-0112E8BDC4F8}"/>
    <hyperlink ref="G116" r:id="rId176" display="43850" xr:uid="{A8CD3192-C465-4DE8-A9E2-6DAB3D0270EC}"/>
    <hyperlink ref="G31" r:id="rId177" display="44920" xr:uid="{1B7341A8-53EA-4370-B8A6-0DCF47990CCF}"/>
    <hyperlink ref="G94" r:id="rId178" display="44901" xr:uid="{BAE1487D-1902-4B6C-95C4-26D5413AFA0B}"/>
    <hyperlink ref="G96" r:id="rId179" display="44916" xr:uid="{E589AD50-2900-4264-BBE1-7701CEC7A2A6}"/>
    <hyperlink ref="G97" r:id="rId180" display="44918" xr:uid="{3B239D82-78D7-4131-849D-AF3C7DD45DE6}"/>
    <hyperlink ref="G98" r:id="rId181" display="44919" xr:uid="{0C6BFBE9-5B8E-4953-9454-3192700EA214}"/>
    <hyperlink ref="G99" r:id="rId182" display="44902" xr:uid="{C3BE3E7E-F190-4551-BF2B-0A242DEF5B2D}"/>
    <hyperlink ref="G250" r:id="rId183" display="44917" xr:uid="{6D45D8C0-B322-46DF-994F-4FA06A43E0C5}"/>
    <hyperlink ref="G100" r:id="rId184" display="45321" xr:uid="{EEF53295-E694-40C4-8271-3C10BDE26211}"/>
    <hyperlink ref="G187" r:id="rId185" display="45319" xr:uid="{1A62F9E3-2D51-4F3A-ACF9-929D4B99C88E}"/>
    <hyperlink ref="H222" r:id="rId186" xr:uid="{8880D480-3459-4DF4-AFBB-5D55FD81D14D}"/>
    <hyperlink ref="G221" r:id="rId187" display="45323" xr:uid="{4BFFC0FF-8F40-4667-AEF5-9F2C9B83F11E}"/>
    <hyperlink ref="H221" r:id="rId188" xr:uid="{13DAD952-C9D3-4890-8EDB-67627F3EDAFB}"/>
    <hyperlink ref="H77" r:id="rId189" xr:uid="{98B3C3C8-8639-4E99-B046-8EA7F5067EDF}"/>
    <hyperlink ref="H78" r:id="rId190" xr:uid="{C6497D57-3F2F-4EA9-9691-3967884D3F88}"/>
    <hyperlink ref="H79" r:id="rId191" xr:uid="{AD9B8576-9159-4B3C-8716-5D93610945CA}"/>
    <hyperlink ref="G79" r:id="rId192" display="45324" xr:uid="{702560AA-5E7E-4C8A-A7BC-DFC9EA30A9F6}"/>
    <hyperlink ref="H203" r:id="rId193" xr:uid="{BB546341-63B9-4998-9DD1-F4845AD7C871}"/>
    <hyperlink ref="G203" r:id="rId194" display="45315" xr:uid="{AE26756A-9E0F-475D-97C4-7D41391482A8}"/>
    <hyperlink ref="G169" r:id="rId195" display="45320" xr:uid="{3696DBFC-3775-4626-9B6C-B57B2682E18D}"/>
    <hyperlink ref="G198" r:id="rId196" display="48692" xr:uid="{7879D892-E5CC-49F0-8CF3-413E92C1EDE7}"/>
    <hyperlink ref="G185" r:id="rId197" display="https://maisinternet.sharepoint.com/:f:/s/TI357/EvBU1D5HJvxIooUOKRb6YZUBIK1cCteyLkRqQAufuplyCA?e=PThnTy" xr:uid="{DAB51004-BD53-4101-B00E-9CC1865B1EBE}"/>
    <hyperlink ref="G183" r:id="rId198" display="48694" xr:uid="{4D751CD9-0F86-4A40-9483-7166D59C2BA0}"/>
    <hyperlink ref="G186" r:id="rId199" display="https://maisinternet.sharepoint.com/:f:/s/TI357/EjXaM-y7QitAilBdOlV4N1oBYc_cAG1EKaLl-g7bnpzLMg?e=dUyJEZ" xr:uid="{43E1687E-BA12-45DB-A237-7DB2E8FD55C2}"/>
    <hyperlink ref="H215" r:id="rId200" xr:uid="{7307B444-81A8-4241-A8E6-29964E1F9FEE}"/>
    <hyperlink ref="G46" r:id="rId201" display="48699" xr:uid="{652D409A-6F6D-446D-B32C-C8399830F631}"/>
    <hyperlink ref="H80" r:id="rId202" xr:uid="{6885EDDD-1E1E-4C5E-9C8D-34A0FE52F5CF}"/>
    <hyperlink ref="G80" r:id="rId203" display="45320" xr:uid="{6C0BFAF6-DA93-4FC4-A42E-1C2ED7930FB5}"/>
    <hyperlink ref="G111" r:id="rId204" display="40238" xr:uid="{228DAB53-5079-4676-9AAE-D772930B36FC}"/>
    <hyperlink ref="H170" r:id="rId205" xr:uid="{2CF1BF6A-71B7-423E-8680-86632B18D52D}"/>
    <hyperlink ref="G170" r:id="rId206" display="49200" xr:uid="{7E3264B6-813E-48BC-AD8B-73C8CCBE22A5}"/>
    <hyperlink ref="H81" r:id="rId207" xr:uid="{B7EE1228-FCDB-4AC9-8796-2A8E09FEE077}"/>
    <hyperlink ref="G81" r:id="rId208" display="49194" xr:uid="{8B26E1D8-B087-46FE-87E1-F9C0CBD18F47}"/>
    <hyperlink ref="H171" r:id="rId209" xr:uid="{938A50B3-2D83-40FE-984B-DC1492260A58}"/>
    <hyperlink ref="G171" r:id="rId210" display="49194" xr:uid="{3F8B4656-550D-44D7-9111-03348BF4F381}"/>
    <hyperlink ref="H172" r:id="rId211" xr:uid="{C1B6CA18-BFBF-49D3-BC4F-73E5BAA49106}"/>
    <hyperlink ref="H82" r:id="rId212" xr:uid="{6087633B-16CD-4C60-802B-FEDBCE61DAF4}"/>
    <hyperlink ref="G82" r:id="rId213" display="49198" xr:uid="{9ADEE251-A73E-4F7E-A611-A6096CFB850C}"/>
    <hyperlink ref="H223" r:id="rId214" xr:uid="{6071DD85-2A90-46F7-B0F5-67AC48BFE2CD}"/>
    <hyperlink ref="G223" r:id="rId215" display="48695" xr:uid="{CD033613-F8D8-43E5-8198-657563E63FAB}"/>
    <hyperlink ref="H224" r:id="rId216" xr:uid="{C022BE33-7383-468D-9183-533611D20E92}"/>
    <hyperlink ref="G224" r:id="rId217" display="49151" xr:uid="{6A857DFD-14E7-42C1-8A22-14F25C41BFB8}"/>
    <hyperlink ref="G91" r:id="rId218" display="49162" xr:uid="{100FA26D-B8D0-4C70-9ECC-B618D437F097}"/>
    <hyperlink ref="G201" r:id="rId219" display="49152" xr:uid="{6A099805-FF39-4FC2-A219-3FCE2393C399}"/>
    <hyperlink ref="H201" r:id="rId220" xr:uid="{2D45CCFD-BFCA-45D5-8D6C-2C4019E4FC12}"/>
    <hyperlink ref="G89" r:id="rId221" display="49195" xr:uid="{949707CF-3305-45F2-86CF-C3B91EB87D7E}"/>
    <hyperlink ref="G218" r:id="rId222" display="48697" xr:uid="{80307FA3-71E6-4CED-BD0D-F1C1BD3BE341}"/>
    <hyperlink ref="G88" r:id="rId223" display="49168" xr:uid="{726F009F-DE7A-4CE8-BB2E-F74C913284A5}"/>
    <hyperlink ref="G184" r:id="rId224" display="49153" xr:uid="{A962E04B-5503-4C18-8578-153620E430C0}"/>
    <hyperlink ref="G182" r:id="rId225" display="48698" xr:uid="{B3E41919-4627-441F-8AA4-BAADB80083D3}"/>
    <hyperlink ref="H202" r:id="rId226" xr:uid="{74C43749-8263-4514-B64C-A275C529F334}"/>
    <hyperlink ref="G202" r:id="rId227" display="50450" xr:uid="{A66D9A5C-8B86-461E-896D-6661536979FD}"/>
    <hyperlink ref="G179" r:id="rId228" display="50417" xr:uid="{475E39B4-2C92-4DA3-82AC-CFE9F58D3E76}"/>
    <hyperlink ref="G180" r:id="rId229" display="50418" xr:uid="{8B1AA565-BC75-495E-88DC-94F4F7107D70}"/>
    <hyperlink ref="G104" r:id="rId230" display="49167" xr:uid="{3E3C322E-7219-48B9-99D0-6BB4B3DDC5A1}"/>
    <hyperlink ref="G175" r:id="rId231" display="50416" xr:uid="{FFFABE7B-272B-465E-8D87-AEB795291472}"/>
    <hyperlink ref="G103" r:id="rId232" display="49166" xr:uid="{7777791A-5996-46B5-8227-ABD4335A0189}"/>
    <hyperlink ref="G102" r:id="rId233" display="49179" xr:uid="{8FC76B4E-B530-4272-9072-1397C04A260D}"/>
    <hyperlink ref="G135" r:id="rId234" display="49193" xr:uid="{DD4ECA3C-E810-42F0-9B96-973942E3D10B}"/>
    <hyperlink ref="G15" r:id="rId235" display="32879" xr:uid="{24B3B50D-1AB3-4826-8A40-70BEF259AE9C}"/>
    <hyperlink ref="G26" r:id="rId236" display="49177" xr:uid="{70604F60-D88E-4A40-A930-67D503715915}"/>
    <hyperlink ref="G27" r:id="rId237" display="49196" xr:uid="{4FAC3043-7B53-49AB-A9BD-03AC6C5F4E87}"/>
    <hyperlink ref="G28" r:id="rId238" display="49197" xr:uid="{BF2D22E3-6C45-4DE2-A260-E58B8AC38F8C}"/>
    <hyperlink ref="G29" r:id="rId239" display="49192" xr:uid="{A8A539E9-0D93-48D1-9CB9-450A5D23CB67}"/>
    <hyperlink ref="G30" r:id="rId240" display="49175" xr:uid="{5A254BC9-0855-4DFB-9DD6-F057EA1CB1F5}"/>
    <hyperlink ref="G106" r:id="rId241" display="49174" xr:uid="{71AC5B16-3653-402F-AF68-64874E204141}"/>
    <hyperlink ref="G176" r:id="rId242" display="49173" xr:uid="{091494F3-F930-49E6-87D4-8A916C3FA056}"/>
    <hyperlink ref="G177" r:id="rId243" display="49172" xr:uid="{CE1C6C08-3A9F-46F4-AE5C-228006B844D1}"/>
    <hyperlink ref="G178" r:id="rId244" display="49191" xr:uid="{10DA2655-63AC-47B1-9BF5-73E2EF2E0E9B}"/>
    <hyperlink ref="G86" r:id="rId245" display="49176" xr:uid="{F02D2807-394A-4D9F-AD92-5EF2F9B2781B}"/>
    <hyperlink ref="G107" r:id="rId246" display="49184" xr:uid="{28DC1DF5-0CEB-41F9-9FBF-0521B1131E5C}"/>
    <hyperlink ref="G108" r:id="rId247" display="49190" xr:uid="{ADDE928C-1708-4060-851C-07121C87F085}"/>
    <hyperlink ref="G109" r:id="rId248" display="49189" xr:uid="{FEE67378-388C-4138-9D60-BDD734ABF3ED}"/>
    <hyperlink ref="G110" r:id="rId249" display="49188" xr:uid="{250A6E8F-0541-4FC2-BF1C-D1208C9710F3}"/>
    <hyperlink ref="H175" r:id="rId250" xr:uid="{EDA3EEA7-A114-4E43-9650-D596E9B6B919}"/>
    <hyperlink ref="G138" r:id="rId251" display="8750" xr:uid="{BB536CA7-AFFC-4A98-9F22-66FAC935D7B4}"/>
    <hyperlink ref="G143" r:id="rId252" display="https://maisinternet.sharepoint.com/:f:/s/TI357/EjidfrBgcTNHmWgZSv1Yxr8Bvzww_HtDdfi0RSdqxJZt4Q?e=obFjaP" xr:uid="{CFFA29F6-D901-44B5-99FD-368C8EFF705F}"/>
    <hyperlink ref="G8" r:id="rId253" display="28757" xr:uid="{EB0908A2-725F-4831-AEAF-D6EEC36BDE7C}"/>
    <hyperlink ref="G129" r:id="rId254" display="49183" xr:uid="{3AA39765-FAD1-4034-98E4-84E87E8767CD}"/>
    <hyperlink ref="G219" r:id="rId255" display="50420" xr:uid="{04D2B4B7-7C60-4BC6-B6C2-23771C31D9EB}"/>
    <hyperlink ref="G220" r:id="rId256" display="50421" xr:uid="{BCF5AA3F-F5BC-40F3-AE9D-30F9EE74FBC8}"/>
    <hyperlink ref="G21" r:id="rId257" display="56616" xr:uid="{E112D77A-294A-468B-9C49-B7776444F2C5}"/>
    <hyperlink ref="G22" r:id="rId258" display="57264" xr:uid="{BE139EC1-27DB-4029-95DB-561ABD718A0E}"/>
    <hyperlink ref="G77" r:id="rId259" display="45316" xr:uid="{9F1DB6E3-1B71-468E-991C-F0E8A7CD9112}"/>
    <hyperlink ref="G172" r:id="rId260" display="49198" xr:uid="{23067C4B-66C9-4925-85DD-6D4406DBC603}"/>
    <hyperlink ref="G78" r:id="rId261" display="45318" xr:uid="{3CDF7234-5E65-49CE-B385-B637B8747A29}"/>
    <hyperlink ref="G41" r:id="rId262" display="40038" xr:uid="{D877C97E-CD33-4A2D-BEFE-2B0EDDD766CB}"/>
    <hyperlink ref="G101" r:id="rId263" display="49178" xr:uid="{B43E6088-306E-4DD8-82B3-DB9F59320CDB}"/>
    <hyperlink ref="G87" r:id="rId264" display="42149" xr:uid="{6CE5A2A4-C994-4FB0-81BB-5EC1157E519C}"/>
    <hyperlink ref="G251" r:id="rId265" display="58865" xr:uid="{AD6331A7-7781-4003-A576-360F017D6175}"/>
    <hyperlink ref="G254" r:id="rId266" display="58864" xr:uid="{5A939260-3485-4C5A-ABBC-FC05A4E3E27E}"/>
    <hyperlink ref="G252" r:id="rId267" display="58861" xr:uid="{FF4053FA-759B-42C8-A51E-5BF2F3476F75}"/>
    <hyperlink ref="G253" r:id="rId268" display="58860" xr:uid="{FAA3F764-CE0B-498C-98AF-97DE21E5F470}"/>
    <hyperlink ref="G256" r:id="rId269" display="58758" xr:uid="{84BCF1B5-3955-48F9-A672-18C127C87B22}"/>
    <hyperlink ref="G255" r:id="rId270" display="58862" xr:uid="{4D718B9F-9CBD-47BD-8173-1E31ECB4F26A}"/>
    <hyperlink ref="G222" r:id="rId271" display="45322" xr:uid="{84DE4875-FAB9-41C1-85E6-CC2018D6801F}"/>
    <hyperlink ref="G258" r:id="rId272" display="59880" xr:uid="{1BF95EB4-08A0-4BA5-B4FA-1AE67893ED98}"/>
    <hyperlink ref="G259:G260" r:id="rId273" display="59882" xr:uid="{778F1D36-A1E1-4498-A7F5-EB892F35ABAC}"/>
    <hyperlink ref="G181" r:id="rId274" display="48696" xr:uid="{F806D71C-C365-4FD1-8FAE-833A8D1C53BD}"/>
    <hyperlink ref="G259" r:id="rId275" display="59881" xr:uid="{40AC0CC2-DEA3-4509-B4D5-D870C5710E5B}"/>
    <hyperlink ref="G261" r:id="rId276" display="60791" xr:uid="{DE38F0CE-A513-477D-99B1-C2BE8531B3A6}"/>
    <hyperlink ref="G262" r:id="rId277" display="61502" xr:uid="{EE595633-6F18-42A2-8A34-7B89DE6C969A}"/>
    <hyperlink ref="G263" r:id="rId278" display="61475" xr:uid="{50958135-4C7E-4DA8-92A0-09EAFD2100B6}"/>
    <hyperlink ref="G266" r:id="rId279" display="61908" xr:uid="{7B85757B-44DA-4F19-97B1-6DF19C400B84}"/>
    <hyperlink ref="G23" r:id="rId280" display="58859" xr:uid="{E782EA38-5B45-401D-8052-8C941CA9CFDE}"/>
    <hyperlink ref="G267" r:id="rId281" display="63351" xr:uid="{A6F05500-5CDF-44AF-B652-4B441188FBA4}"/>
    <hyperlink ref="G268" r:id="rId282" display="64054" xr:uid="{D67F4D11-7142-4C55-9462-6723BBE88171}"/>
  </hyperlinks>
  <pageMargins left="0.511811024" right="0.511811024" top="0.78740157499999996" bottom="0.78740157499999996" header="0.31496062000000002" footer="0.31496062000000002"/>
  <pageSetup paperSize="9" orientation="portrait" r:id="rId283"/>
  <drawing r:id="rId284"/>
  <tableParts count="1">
    <tablePart r:id="rId28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31E1C-88AA-411D-A967-A1884A957AE6}">
  <dimension ref="A1:H59"/>
  <sheetViews>
    <sheetView topLeftCell="A7" workbookViewId="0">
      <selection activeCell="A56" sqref="A56:H59"/>
    </sheetView>
  </sheetViews>
  <sheetFormatPr defaultRowHeight="15"/>
  <cols>
    <col min="1" max="1" width="23.5703125" customWidth="1"/>
    <col min="2" max="2" width="19.7109375" customWidth="1"/>
    <col min="3" max="3" width="21.42578125" customWidth="1"/>
    <col min="4" max="4" width="20.5703125" bestFit="1" customWidth="1"/>
    <col min="5" max="5" width="37.5703125" bestFit="1" customWidth="1"/>
    <col min="6" max="6" width="116" customWidth="1"/>
    <col min="7" max="7" width="40.85546875" customWidth="1"/>
    <col min="11" max="11" width="6.28515625" bestFit="1" customWidth="1"/>
    <col min="12" max="12" width="59.7109375" bestFit="1" customWidth="1"/>
  </cols>
  <sheetData>
    <row r="1" spans="1:7" ht="19.5">
      <c r="A1" s="41" t="s">
        <v>711</v>
      </c>
      <c r="B1" s="42" t="s">
        <v>204</v>
      </c>
      <c r="C1" s="42" t="s">
        <v>205</v>
      </c>
      <c r="D1" s="42" t="s">
        <v>712</v>
      </c>
      <c r="E1" s="43" t="s">
        <v>208</v>
      </c>
      <c r="F1" s="43" t="s">
        <v>713</v>
      </c>
      <c r="G1" s="42" t="s">
        <v>714</v>
      </c>
    </row>
    <row r="2" spans="1:7" ht="19.5">
      <c r="A2" s="44" t="s">
        <v>373</v>
      </c>
      <c r="B2" s="45" t="s">
        <v>438</v>
      </c>
      <c r="C2" s="45" t="s">
        <v>457</v>
      </c>
      <c r="D2" s="45" t="s">
        <v>715</v>
      </c>
      <c r="E2" s="46" t="s">
        <v>716</v>
      </c>
      <c r="F2" s="46" t="s">
        <v>716</v>
      </c>
      <c r="G2" s="47" t="s">
        <v>717</v>
      </c>
    </row>
    <row r="3" spans="1:7" ht="19.5">
      <c r="A3" s="44" t="s">
        <v>373</v>
      </c>
      <c r="B3" s="45" t="s">
        <v>438</v>
      </c>
      <c r="C3" s="45" t="s">
        <v>457</v>
      </c>
      <c r="D3" s="45" t="s">
        <v>718</v>
      </c>
      <c r="E3" s="46" t="s">
        <v>719</v>
      </c>
      <c r="F3" s="46" t="s">
        <v>719</v>
      </c>
      <c r="G3" s="48" t="s">
        <v>717</v>
      </c>
    </row>
    <row r="4" spans="1:7" ht="19.5">
      <c r="A4" s="44" t="s">
        <v>373</v>
      </c>
      <c r="B4" s="45" t="s">
        <v>438</v>
      </c>
      <c r="C4" s="45" t="s">
        <v>457</v>
      </c>
      <c r="D4" s="45"/>
      <c r="E4" s="46">
        <v>27506</v>
      </c>
      <c r="F4" s="46" t="s">
        <v>720</v>
      </c>
      <c r="G4" s="48" t="s">
        <v>721</v>
      </c>
    </row>
    <row r="5" spans="1:7" ht="19.5">
      <c r="A5" s="44" t="s">
        <v>373</v>
      </c>
      <c r="B5" s="45" t="s">
        <v>438</v>
      </c>
      <c r="C5" s="45" t="s">
        <v>457</v>
      </c>
      <c r="D5" s="45"/>
      <c r="E5" s="46">
        <v>28762</v>
      </c>
      <c r="F5" s="46" t="s">
        <v>722</v>
      </c>
      <c r="G5" s="48" t="s">
        <v>723</v>
      </c>
    </row>
    <row r="6" spans="1:7" ht="19.5">
      <c r="A6" s="44" t="s">
        <v>373</v>
      </c>
      <c r="B6" s="45" t="s">
        <v>438</v>
      </c>
      <c r="C6" s="45" t="s">
        <v>457</v>
      </c>
      <c r="D6" s="45"/>
      <c r="E6" s="46"/>
      <c r="F6" s="46" t="s">
        <v>724</v>
      </c>
      <c r="G6" s="48" t="s">
        <v>725</v>
      </c>
    </row>
    <row r="7" spans="1:7" ht="19.5">
      <c r="A7" s="44" t="s">
        <v>373</v>
      </c>
      <c r="B7" s="45" t="s">
        <v>438</v>
      </c>
      <c r="C7" s="45" t="s">
        <v>457</v>
      </c>
      <c r="D7" s="45"/>
      <c r="E7" s="46">
        <v>27502</v>
      </c>
      <c r="F7" s="46" t="s">
        <v>726</v>
      </c>
      <c r="G7" s="48" t="s">
        <v>727</v>
      </c>
    </row>
    <row r="8" spans="1:7" ht="19.5">
      <c r="A8" s="44" t="s">
        <v>216</v>
      </c>
      <c r="B8" s="45" t="s">
        <v>569</v>
      </c>
      <c r="C8" s="45" t="s">
        <v>570</v>
      </c>
      <c r="D8" s="45" t="s">
        <v>728</v>
      </c>
      <c r="E8" s="46">
        <v>28765</v>
      </c>
      <c r="F8" s="46" t="s">
        <v>729</v>
      </c>
      <c r="G8" s="48" t="s">
        <v>727</v>
      </c>
    </row>
    <row r="9" spans="1:7" ht="19.5">
      <c r="A9" s="44" t="s">
        <v>216</v>
      </c>
      <c r="B9" s="45" t="s">
        <v>569</v>
      </c>
      <c r="C9" s="45" t="s">
        <v>571</v>
      </c>
      <c r="D9" s="45"/>
      <c r="E9" s="49">
        <v>28766</v>
      </c>
      <c r="F9" s="48" t="s">
        <v>730</v>
      </c>
      <c r="G9" s="50" t="s">
        <v>731</v>
      </c>
    </row>
    <row r="10" spans="1:7" ht="19.5">
      <c r="A10" s="51" t="s">
        <v>636</v>
      </c>
      <c r="B10" s="52" t="s">
        <v>637</v>
      </c>
      <c r="C10" s="52" t="s">
        <v>638</v>
      </c>
      <c r="D10" s="52" t="s">
        <v>732</v>
      </c>
      <c r="E10" s="54">
        <v>28198</v>
      </c>
      <c r="F10" s="53" t="s">
        <v>733</v>
      </c>
      <c r="G10" s="48" t="s">
        <v>734</v>
      </c>
    </row>
    <row r="11" spans="1:7" ht="19.5">
      <c r="A11" s="51" t="s">
        <v>636</v>
      </c>
      <c r="B11" s="52" t="s">
        <v>637</v>
      </c>
      <c r="C11" s="52" t="s">
        <v>638</v>
      </c>
      <c r="D11" s="52" t="s">
        <v>735</v>
      </c>
      <c r="E11" s="98">
        <v>28162</v>
      </c>
      <c r="F11" s="53" t="s">
        <v>733</v>
      </c>
      <c r="G11" s="48" t="s">
        <v>734</v>
      </c>
    </row>
    <row r="12" spans="1:7" ht="19.5">
      <c r="A12" s="51" t="s">
        <v>636</v>
      </c>
      <c r="B12" s="52" t="s">
        <v>637</v>
      </c>
      <c r="C12" s="52" t="s">
        <v>638</v>
      </c>
      <c r="D12" s="52" t="s">
        <v>736</v>
      </c>
      <c r="E12" s="98">
        <v>26036</v>
      </c>
      <c r="F12" s="55" t="s">
        <v>733</v>
      </c>
      <c r="G12" s="48" t="s">
        <v>734</v>
      </c>
    </row>
    <row r="13" spans="1:7" ht="19.5">
      <c r="A13" s="51" t="s">
        <v>636</v>
      </c>
      <c r="B13" s="52" t="s">
        <v>637</v>
      </c>
      <c r="C13" s="52" t="s">
        <v>737</v>
      </c>
      <c r="D13" s="52" t="s">
        <v>738</v>
      </c>
      <c r="E13" s="98">
        <v>28795</v>
      </c>
      <c r="F13" s="53" t="s">
        <v>733</v>
      </c>
      <c r="G13" s="48" t="s">
        <v>734</v>
      </c>
    </row>
    <row r="14" spans="1:7" ht="19.5">
      <c r="A14" s="51" t="s">
        <v>636</v>
      </c>
      <c r="B14" s="52" t="s">
        <v>637</v>
      </c>
      <c r="C14" s="52" t="s">
        <v>638</v>
      </c>
      <c r="D14" s="52" t="s">
        <v>739</v>
      </c>
      <c r="E14" s="98">
        <v>28183</v>
      </c>
      <c r="F14" s="53" t="s">
        <v>733</v>
      </c>
      <c r="G14" s="48" t="s">
        <v>734</v>
      </c>
    </row>
    <row r="15" spans="1:7" ht="19.5">
      <c r="A15" s="51" t="s">
        <v>234</v>
      </c>
      <c r="B15" s="52" t="s">
        <v>290</v>
      </c>
      <c r="C15" s="52" t="s">
        <v>740</v>
      </c>
      <c r="D15" s="52" t="s">
        <v>741</v>
      </c>
      <c r="E15" s="98">
        <v>28179</v>
      </c>
      <c r="F15" s="59" t="s">
        <v>742</v>
      </c>
      <c r="G15" s="48" t="s">
        <v>734</v>
      </c>
    </row>
    <row r="16" spans="1:7" ht="19.5">
      <c r="A16" s="51" t="s">
        <v>636</v>
      </c>
      <c r="B16" s="52" t="s">
        <v>637</v>
      </c>
      <c r="C16" s="52" t="s">
        <v>657</v>
      </c>
      <c r="D16" s="52" t="s">
        <v>743</v>
      </c>
      <c r="E16" s="98">
        <v>30737</v>
      </c>
      <c r="F16" s="59" t="s">
        <v>744</v>
      </c>
      <c r="G16" s="48" t="s">
        <v>734</v>
      </c>
    </row>
    <row r="17" spans="1:7" ht="19.5">
      <c r="A17" s="51" t="s">
        <v>636</v>
      </c>
      <c r="B17" s="52" t="s">
        <v>637</v>
      </c>
      <c r="C17" s="52" t="s">
        <v>646</v>
      </c>
      <c r="D17" s="45" t="s">
        <v>745</v>
      </c>
      <c r="E17" s="98">
        <v>28193</v>
      </c>
      <c r="F17" s="59" t="s">
        <v>746</v>
      </c>
      <c r="G17" s="48" t="s">
        <v>734</v>
      </c>
    </row>
    <row r="18" spans="1:7" ht="19.5">
      <c r="A18" s="44" t="s">
        <v>636</v>
      </c>
      <c r="B18" s="45" t="s">
        <v>637</v>
      </c>
      <c r="C18" s="45" t="s">
        <v>737</v>
      </c>
      <c r="D18" s="45" t="s">
        <v>658</v>
      </c>
      <c r="E18" s="98">
        <v>28181</v>
      </c>
      <c r="F18" s="46" t="s">
        <v>747</v>
      </c>
      <c r="G18" s="48" t="s">
        <v>748</v>
      </c>
    </row>
    <row r="19" spans="1:7" ht="19.5">
      <c r="A19" s="44" t="s">
        <v>234</v>
      </c>
      <c r="B19" s="45" t="s">
        <v>290</v>
      </c>
      <c r="C19" s="45" t="s">
        <v>749</v>
      </c>
      <c r="D19" s="45" t="s">
        <v>750</v>
      </c>
      <c r="E19" s="98">
        <v>21187</v>
      </c>
      <c r="F19" s="46" t="s">
        <v>751</v>
      </c>
      <c r="G19" s="48" t="s">
        <v>734</v>
      </c>
    </row>
    <row r="20" spans="1:7" ht="19.5">
      <c r="A20" s="51" t="s">
        <v>216</v>
      </c>
      <c r="B20" s="52" t="s">
        <v>217</v>
      </c>
      <c r="C20" s="61" t="s">
        <v>752</v>
      </c>
      <c r="D20" s="52"/>
      <c r="E20" s="98">
        <v>31852</v>
      </c>
      <c r="F20" s="53" t="s">
        <v>753</v>
      </c>
      <c r="G20" s="50" t="s">
        <v>754</v>
      </c>
    </row>
    <row r="21" spans="1:7" ht="19.5">
      <c r="A21" s="44" t="s">
        <v>373</v>
      </c>
      <c r="B21" s="45" t="s">
        <v>374</v>
      </c>
      <c r="C21" s="45" t="s">
        <v>755</v>
      </c>
      <c r="D21" s="45" t="s">
        <v>756</v>
      </c>
      <c r="E21" s="98">
        <v>28780</v>
      </c>
      <c r="F21" s="46" t="s">
        <v>751</v>
      </c>
      <c r="G21" s="48" t="s">
        <v>748</v>
      </c>
    </row>
    <row r="22" spans="1:7" ht="19.5">
      <c r="A22" s="45" t="s">
        <v>710</v>
      </c>
      <c r="B22" s="46" t="s">
        <v>225</v>
      </c>
      <c r="C22" s="44" t="s">
        <v>226</v>
      </c>
      <c r="D22" s="45"/>
      <c r="E22" s="46">
        <v>31898</v>
      </c>
      <c r="F22" s="46" t="s">
        <v>757</v>
      </c>
      <c r="G22" s="48" t="s">
        <v>758</v>
      </c>
    </row>
    <row r="23" spans="1:7" ht="19.5">
      <c r="A23" s="45" t="s">
        <v>373</v>
      </c>
      <c r="B23" s="46" t="s">
        <v>438</v>
      </c>
      <c r="C23" s="44" t="s">
        <v>457</v>
      </c>
      <c r="D23" s="45" t="s">
        <v>759</v>
      </c>
      <c r="E23" s="46">
        <v>27501</v>
      </c>
      <c r="F23" s="46" t="s">
        <v>760</v>
      </c>
      <c r="G23" s="48" t="s">
        <v>761</v>
      </c>
    </row>
    <row r="24" spans="1:7" ht="19.5">
      <c r="A24" s="44" t="s">
        <v>373</v>
      </c>
      <c r="B24" s="45" t="s">
        <v>762</v>
      </c>
      <c r="C24" s="45" t="s">
        <v>763</v>
      </c>
      <c r="D24" s="45" t="s">
        <v>764</v>
      </c>
      <c r="E24" s="46">
        <v>5109</v>
      </c>
      <c r="F24" s="46" t="s">
        <v>751</v>
      </c>
      <c r="G24" s="48" t="s">
        <v>748</v>
      </c>
    </row>
    <row r="25" spans="1:7" ht="19.5">
      <c r="A25" s="44" t="s">
        <v>216</v>
      </c>
      <c r="B25" s="45" t="s">
        <v>290</v>
      </c>
      <c r="C25" s="45" t="s">
        <v>765</v>
      </c>
      <c r="D25" s="45" t="s">
        <v>766</v>
      </c>
      <c r="E25" s="45">
        <v>28758</v>
      </c>
      <c r="F25" s="46" t="s">
        <v>767</v>
      </c>
      <c r="G25" s="48" t="s">
        <v>748</v>
      </c>
    </row>
    <row r="26" spans="1:7" ht="19.5">
      <c r="A26" s="44" t="s">
        <v>215</v>
      </c>
      <c r="B26" s="45" t="s">
        <v>768</v>
      </c>
      <c r="C26" s="45" t="s">
        <v>769</v>
      </c>
      <c r="D26" s="45" t="s">
        <v>770</v>
      </c>
      <c r="E26" s="46">
        <v>6160</v>
      </c>
      <c r="F26" s="46" t="s">
        <v>771</v>
      </c>
      <c r="G26" s="48" t="s">
        <v>748</v>
      </c>
    </row>
    <row r="27" spans="1:7" ht="19.5">
      <c r="A27" s="44" t="s">
        <v>216</v>
      </c>
      <c r="B27" s="45" t="s">
        <v>569</v>
      </c>
      <c r="C27" s="45" t="s">
        <v>571</v>
      </c>
      <c r="D27" s="45"/>
      <c r="E27" s="45">
        <v>28764</v>
      </c>
      <c r="F27" s="46" t="s">
        <v>772</v>
      </c>
      <c r="G27" s="48" t="s">
        <v>773</v>
      </c>
    </row>
    <row r="28" spans="1:7" ht="19.5">
      <c r="A28" s="44" t="s">
        <v>373</v>
      </c>
      <c r="B28" s="45" t="s">
        <v>374</v>
      </c>
      <c r="C28" s="45" t="s">
        <v>378</v>
      </c>
      <c r="D28" s="45" t="s">
        <v>774</v>
      </c>
      <c r="E28" s="98">
        <v>40395</v>
      </c>
      <c r="F28" s="46" t="s">
        <v>775</v>
      </c>
      <c r="G28" s="48" t="s">
        <v>776</v>
      </c>
    </row>
    <row r="29" spans="1:7" ht="19.5">
      <c r="A29" s="44" t="s">
        <v>777</v>
      </c>
      <c r="B29" s="45" t="s">
        <v>778</v>
      </c>
      <c r="C29" s="45" t="s">
        <v>779</v>
      </c>
      <c r="D29" s="45"/>
      <c r="E29" s="98">
        <v>28191</v>
      </c>
      <c r="F29" s="46" t="s">
        <v>780</v>
      </c>
      <c r="G29" s="48" t="s">
        <v>780</v>
      </c>
    </row>
    <row r="30" spans="1:7" ht="19.5">
      <c r="A30" s="44" t="s">
        <v>777</v>
      </c>
      <c r="B30" s="45" t="s">
        <v>778</v>
      </c>
      <c r="C30" s="45" t="s">
        <v>779</v>
      </c>
      <c r="D30" s="45"/>
      <c r="E30" s="98">
        <v>28164</v>
      </c>
      <c r="F30" s="46" t="s">
        <v>780</v>
      </c>
      <c r="G30" s="48" t="s">
        <v>780</v>
      </c>
    </row>
    <row r="31" spans="1:7" ht="19.5">
      <c r="A31" s="44" t="s">
        <v>777</v>
      </c>
      <c r="B31" s="45" t="s">
        <v>778</v>
      </c>
      <c r="C31" s="45" t="s">
        <v>779</v>
      </c>
      <c r="D31" s="45"/>
      <c r="E31" s="98">
        <v>28169</v>
      </c>
      <c r="F31" s="46" t="s">
        <v>780</v>
      </c>
      <c r="G31" s="48" t="s">
        <v>780</v>
      </c>
    </row>
    <row r="32" spans="1:7" ht="19.5">
      <c r="A32" s="44" t="s">
        <v>777</v>
      </c>
      <c r="B32" s="45" t="s">
        <v>778</v>
      </c>
      <c r="C32" s="45" t="s">
        <v>779</v>
      </c>
      <c r="D32" s="45"/>
      <c r="E32" s="98">
        <v>28188</v>
      </c>
      <c r="F32" s="46" t="s">
        <v>780</v>
      </c>
      <c r="G32" s="48" t="s">
        <v>780</v>
      </c>
    </row>
    <row r="33" spans="1:8" ht="19.5">
      <c r="A33" s="44" t="s">
        <v>777</v>
      </c>
      <c r="B33" s="45" t="s">
        <v>778</v>
      </c>
      <c r="C33" s="45" t="s">
        <v>779</v>
      </c>
      <c r="D33" s="45"/>
      <c r="E33" s="98">
        <v>28774</v>
      </c>
      <c r="F33" s="46" t="s">
        <v>780</v>
      </c>
      <c r="G33" s="48" t="s">
        <v>780</v>
      </c>
    </row>
    <row r="34" spans="1:8" ht="19.5">
      <c r="A34" s="44" t="s">
        <v>777</v>
      </c>
      <c r="B34" s="45" t="s">
        <v>778</v>
      </c>
      <c r="C34" s="45" t="s">
        <v>779</v>
      </c>
      <c r="D34" s="45"/>
      <c r="E34" s="98">
        <v>28797</v>
      </c>
      <c r="F34" s="46" t="s">
        <v>780</v>
      </c>
      <c r="G34" s="48" t="s">
        <v>780</v>
      </c>
    </row>
    <row r="35" spans="1:8" ht="19.5">
      <c r="A35" s="44" t="s">
        <v>777</v>
      </c>
      <c r="B35" s="45" t="s">
        <v>778</v>
      </c>
      <c r="C35" s="45" t="s">
        <v>779</v>
      </c>
      <c r="D35" s="45"/>
      <c r="E35" s="98">
        <v>28736</v>
      </c>
      <c r="F35" s="46" t="s">
        <v>780</v>
      </c>
      <c r="G35" s="48" t="s">
        <v>780</v>
      </c>
    </row>
    <row r="36" spans="1:8" ht="19.5">
      <c r="A36" s="44" t="s">
        <v>216</v>
      </c>
      <c r="B36" s="45" t="s">
        <v>569</v>
      </c>
      <c r="C36" s="45" t="s">
        <v>571</v>
      </c>
      <c r="D36" s="45"/>
      <c r="E36" s="98">
        <v>28763</v>
      </c>
      <c r="F36" s="46" t="s">
        <v>781</v>
      </c>
      <c r="G36" s="48" t="s">
        <v>748</v>
      </c>
    </row>
    <row r="37" spans="1:8" ht="19.5">
      <c r="A37" s="44" t="s">
        <v>216</v>
      </c>
      <c r="B37" s="45" t="s">
        <v>235</v>
      </c>
      <c r="C37" s="45" t="s">
        <v>539</v>
      </c>
      <c r="D37" s="45" t="s">
        <v>782</v>
      </c>
      <c r="E37" s="98">
        <v>31893</v>
      </c>
      <c r="F37" s="46" t="s">
        <v>781</v>
      </c>
      <c r="G37" s="48" t="s">
        <v>748</v>
      </c>
    </row>
    <row r="38" spans="1:8" ht="19.5">
      <c r="A38" s="44" t="s">
        <v>216</v>
      </c>
      <c r="B38" s="45" t="s">
        <v>569</v>
      </c>
      <c r="C38" s="45" t="s">
        <v>752</v>
      </c>
      <c r="D38" s="45"/>
      <c r="E38" s="98">
        <v>28761</v>
      </c>
      <c r="F38" s="46" t="s">
        <v>783</v>
      </c>
      <c r="G38" s="48" t="s">
        <v>784</v>
      </c>
    </row>
    <row r="39" spans="1:8" ht="19.5">
      <c r="A39" s="44" t="s">
        <v>785</v>
      </c>
      <c r="B39" s="45" t="s">
        <v>290</v>
      </c>
      <c r="C39" s="45" t="s">
        <v>786</v>
      </c>
      <c r="D39" s="45" t="s">
        <v>787</v>
      </c>
      <c r="E39" s="45"/>
      <c r="F39" s="46"/>
      <c r="G39" s="48">
        <v>26043</v>
      </c>
    </row>
    <row r="40" spans="1:8" ht="19.5">
      <c r="A40" s="44" t="s">
        <v>215</v>
      </c>
      <c r="B40" s="45" t="s">
        <v>235</v>
      </c>
      <c r="C40" s="45" t="s">
        <v>786</v>
      </c>
      <c r="D40" s="45" t="s">
        <v>788</v>
      </c>
      <c r="E40" s="45"/>
      <c r="F40" s="46" t="s">
        <v>781</v>
      </c>
      <c r="G40" s="48">
        <v>31900</v>
      </c>
    </row>
    <row r="41" spans="1:8" ht="19.5">
      <c r="A41" s="44"/>
      <c r="B41" s="45"/>
      <c r="C41" s="45"/>
      <c r="D41" s="45"/>
      <c r="E41" s="46"/>
      <c r="F41" s="46"/>
      <c r="G41" s="48"/>
    </row>
    <row r="42" spans="1:8" ht="19.5">
      <c r="A42" s="44" t="s">
        <v>215</v>
      </c>
      <c r="B42" s="45" t="s">
        <v>235</v>
      </c>
      <c r="C42" s="45" t="s">
        <v>789</v>
      </c>
      <c r="D42" s="45" t="s">
        <v>790</v>
      </c>
      <c r="E42" s="46"/>
      <c r="F42" s="46" t="s">
        <v>781</v>
      </c>
      <c r="G42" s="48">
        <v>8340</v>
      </c>
    </row>
    <row r="43" spans="1:8" ht="19.5">
      <c r="A43" s="51" t="s">
        <v>777</v>
      </c>
      <c r="B43" s="52" t="s">
        <v>778</v>
      </c>
      <c r="C43" s="52" t="s">
        <v>779</v>
      </c>
      <c r="D43" s="52"/>
      <c r="E43" s="98">
        <v>28189</v>
      </c>
      <c r="F43" s="59" t="s">
        <v>791</v>
      </c>
      <c r="G43" s="50" t="s">
        <v>748</v>
      </c>
    </row>
    <row r="44" spans="1:8" ht="19.5">
      <c r="A44" s="92" t="s">
        <v>373</v>
      </c>
      <c r="B44" s="93" t="s">
        <v>438</v>
      </c>
      <c r="C44" s="93" t="s">
        <v>457</v>
      </c>
      <c r="D44" s="93"/>
      <c r="E44" s="93"/>
      <c r="F44" s="93"/>
      <c r="G44" s="94">
        <v>27510</v>
      </c>
      <c r="H44" s="95" t="s">
        <v>792</v>
      </c>
    </row>
    <row r="45" spans="1:8" ht="19.5">
      <c r="A45" s="92" t="s">
        <v>373</v>
      </c>
      <c r="B45" s="93" t="s">
        <v>438</v>
      </c>
      <c r="C45" s="93" t="s">
        <v>457</v>
      </c>
      <c r="D45" s="93" t="s">
        <v>793</v>
      </c>
      <c r="E45" s="93"/>
      <c r="F45" s="93"/>
      <c r="G45" s="94">
        <v>27509</v>
      </c>
      <c r="H45" s="95" t="s">
        <v>794</v>
      </c>
    </row>
    <row r="46" spans="1:8" ht="19.5">
      <c r="A46" s="88" t="s">
        <v>373</v>
      </c>
      <c r="B46" s="89" t="s">
        <v>438</v>
      </c>
      <c r="C46" s="89" t="s">
        <v>457</v>
      </c>
      <c r="D46" s="89"/>
      <c r="E46" s="89"/>
      <c r="F46" s="89"/>
      <c r="G46" s="91">
        <v>27506</v>
      </c>
      <c r="H46" s="90" t="s">
        <v>795</v>
      </c>
    </row>
    <row r="47" spans="1:8" ht="19.5">
      <c r="A47" s="88" t="s">
        <v>373</v>
      </c>
      <c r="B47" s="89" t="s">
        <v>438</v>
      </c>
      <c r="C47" s="89" t="s">
        <v>457</v>
      </c>
      <c r="D47" s="89" t="s">
        <v>796</v>
      </c>
      <c r="E47" s="89"/>
      <c r="F47" s="89"/>
      <c r="G47" s="91">
        <v>28787</v>
      </c>
      <c r="H47" s="90" t="s">
        <v>797</v>
      </c>
    </row>
    <row r="48" spans="1:8" ht="19.5">
      <c r="A48" s="88" t="s">
        <v>373</v>
      </c>
      <c r="B48" s="89" t="s">
        <v>438</v>
      </c>
      <c r="C48" s="89" t="s">
        <v>457</v>
      </c>
      <c r="D48" s="89"/>
      <c r="E48" s="89"/>
      <c r="F48" s="89"/>
      <c r="G48" s="91">
        <v>27546</v>
      </c>
      <c r="H48" s="90" t="s">
        <v>798</v>
      </c>
    </row>
    <row r="49" spans="1:8" ht="19.5">
      <c r="A49" s="88" t="s">
        <v>373</v>
      </c>
      <c r="B49" s="89" t="s">
        <v>438</v>
      </c>
      <c r="C49" s="89" t="s">
        <v>457</v>
      </c>
      <c r="D49" s="89"/>
      <c r="E49" s="89"/>
      <c r="F49" s="89"/>
      <c r="G49" s="91">
        <v>27508</v>
      </c>
      <c r="H49" s="90"/>
    </row>
    <row r="50" spans="1:8" ht="19.5">
      <c r="A50" s="88" t="s">
        <v>373</v>
      </c>
      <c r="B50" s="89" t="s">
        <v>768</v>
      </c>
      <c r="C50" s="89" t="s">
        <v>763</v>
      </c>
      <c r="D50" s="89" t="s">
        <v>799</v>
      </c>
      <c r="E50" s="89"/>
      <c r="F50" s="89" t="s">
        <v>229</v>
      </c>
      <c r="G50" s="91">
        <v>28751</v>
      </c>
      <c r="H50" s="90" t="s">
        <v>800</v>
      </c>
    </row>
    <row r="51" spans="1:8" ht="19.5">
      <c r="A51" s="88" t="s">
        <v>373</v>
      </c>
      <c r="B51" s="89" t="s">
        <v>438</v>
      </c>
      <c r="C51" s="89" t="s">
        <v>457</v>
      </c>
      <c r="D51" s="89">
        <v>3745547389</v>
      </c>
      <c r="E51" s="89"/>
      <c r="F51" s="89"/>
      <c r="G51" s="91">
        <v>27189</v>
      </c>
      <c r="H51" s="90" t="s">
        <v>801</v>
      </c>
    </row>
    <row r="52" spans="1:8" ht="19.5">
      <c r="A52" s="92" t="s">
        <v>234</v>
      </c>
      <c r="B52" s="93" t="s">
        <v>290</v>
      </c>
      <c r="C52" s="93" t="s">
        <v>802</v>
      </c>
      <c r="D52" s="93"/>
      <c r="E52" s="93" t="s">
        <v>803</v>
      </c>
      <c r="F52" s="93"/>
      <c r="G52" s="94">
        <v>28157</v>
      </c>
      <c r="H52" s="90"/>
    </row>
    <row r="53" spans="1:8" ht="19.5">
      <c r="A53" s="88" t="s">
        <v>373</v>
      </c>
      <c r="B53" s="89" t="s">
        <v>438</v>
      </c>
      <c r="C53" s="89" t="s">
        <v>457</v>
      </c>
      <c r="D53" s="89" t="s">
        <v>804</v>
      </c>
      <c r="E53" s="89"/>
      <c r="F53" s="89"/>
      <c r="G53" s="91">
        <v>27505</v>
      </c>
      <c r="H53" s="90" t="s">
        <v>805</v>
      </c>
    </row>
    <row r="54" spans="1:8" ht="19.5">
      <c r="A54" s="92" t="s">
        <v>237</v>
      </c>
      <c r="B54" s="93" t="s">
        <v>211</v>
      </c>
      <c r="C54" s="93" t="s">
        <v>806</v>
      </c>
      <c r="D54" s="93"/>
      <c r="E54" s="93"/>
      <c r="F54" s="93"/>
      <c r="G54" s="94"/>
      <c r="H54" s="95" t="s">
        <v>807</v>
      </c>
    </row>
    <row r="55" spans="1:8" ht="19.5">
      <c r="A55" s="92" t="s">
        <v>216</v>
      </c>
      <c r="B55" s="93" t="s">
        <v>217</v>
      </c>
      <c r="C55" s="93" t="s">
        <v>808</v>
      </c>
      <c r="D55" s="93"/>
      <c r="E55" s="93"/>
      <c r="F55" s="93"/>
      <c r="G55" s="94">
        <v>31892</v>
      </c>
      <c r="H55" s="96" t="s">
        <v>809</v>
      </c>
    </row>
    <row r="56" spans="1:8" ht="19.5">
      <c r="A56" s="92" t="s">
        <v>777</v>
      </c>
      <c r="B56" s="93" t="s">
        <v>211</v>
      </c>
      <c r="C56" s="93" t="s">
        <v>810</v>
      </c>
      <c r="D56" s="93" t="s">
        <v>811</v>
      </c>
      <c r="E56" s="93" t="s">
        <v>812</v>
      </c>
      <c r="F56" s="93" t="s">
        <v>813</v>
      </c>
      <c r="G56" s="94">
        <v>28199</v>
      </c>
      <c r="H56" s="95" t="s">
        <v>814</v>
      </c>
    </row>
    <row r="57" spans="1:8" ht="19.5">
      <c r="A57" s="44" t="s">
        <v>777</v>
      </c>
      <c r="B57" s="45" t="s">
        <v>211</v>
      </c>
      <c r="C57" s="45" t="s">
        <v>810</v>
      </c>
      <c r="D57" s="45" t="s">
        <v>815</v>
      </c>
      <c r="E57" s="45"/>
      <c r="F57" s="97"/>
      <c r="G57" s="98">
        <v>28158</v>
      </c>
      <c r="H57" s="95" t="s">
        <v>816</v>
      </c>
    </row>
    <row r="58" spans="1:8" ht="19.5">
      <c r="A58" s="92" t="s">
        <v>777</v>
      </c>
      <c r="B58" s="93" t="s">
        <v>211</v>
      </c>
      <c r="C58" s="93" t="s">
        <v>810</v>
      </c>
      <c r="D58" s="93" t="s">
        <v>817</v>
      </c>
      <c r="E58" s="93"/>
      <c r="F58" s="93"/>
      <c r="G58" s="94">
        <v>28159</v>
      </c>
      <c r="H58" s="95"/>
    </row>
    <row r="59" spans="1:8" ht="19.5">
      <c r="A59" s="44" t="s">
        <v>777</v>
      </c>
      <c r="B59" s="45" t="s">
        <v>211</v>
      </c>
      <c r="C59" s="45" t="s">
        <v>810</v>
      </c>
      <c r="D59" s="45" t="s">
        <v>818</v>
      </c>
      <c r="E59" s="45" t="s">
        <v>780</v>
      </c>
      <c r="F59" s="45"/>
      <c r="G59" s="98">
        <v>28176</v>
      </c>
      <c r="H59" s="95" t="s">
        <v>816</v>
      </c>
    </row>
  </sheetData>
  <hyperlinks>
    <hyperlink ref="E9" r:id="rId1" display="https://maisinternet.sharepoint.com/:f:/s/TI357/EjLc4GLc9nxKltGixQJ0OOsB1WqRUHBB79NkUNvz1df2sg?e=ZjY2Vb" xr:uid="{B3B6765F-D9CC-4416-8DEE-5C6D88303D98}"/>
    <hyperlink ref="E10" r:id="rId2" display="https://maisinternet.sharepoint.com/:f:/s/TI357/ErN78ztj5PpLuhhfcqzRtUIBGtgEzJT0aa_Mxixuqdf3Pg?e=D0eL0D" xr:uid="{C3BE683D-BFA7-487B-BF44-B7666294C50A}"/>
    <hyperlink ref="E11" r:id="rId3" display="https://maisinternet.sharepoint.com/:f:/s/TI357/EqyXaXzct5xKuKAoDknV9EkBnvl6LLBoZ6DH5WojDf72AQ?e=0SmoEU" xr:uid="{2D6208A9-8EFD-454F-AC5F-A7F922E78D50}"/>
    <hyperlink ref="E12" r:id="rId4" display="26036" xr:uid="{A6FB9DF3-46CA-41E7-AE52-2BA8514776E7}"/>
    <hyperlink ref="E13" r:id="rId5" display="28795" xr:uid="{F134DB11-2923-4178-BC56-F44441A53426}"/>
    <hyperlink ref="E14" r:id="rId6" display="https://maisinternet.sharepoint.com/:f:/s/TI357/Em36eKUuYRRAphcRCYt690IB-DS1u5cw84uvVa8IinXP-A?e=5JTlqg" xr:uid="{17574132-7107-45D3-905E-313A519E41CC}"/>
    <hyperlink ref="E15" r:id="rId7" display="https://maisinternet.sharepoint.com/:f:/s/TI357/Et6S1HyxiYBPoRWlv_bRCOoBSpx791SvYztgIS2Kah_EaA?e=09d98V" xr:uid="{96E33CD0-26BF-425E-B789-1E91CB61D0E8}"/>
    <hyperlink ref="E16" r:id="rId8" display="30737" xr:uid="{A4865124-0114-4EED-999B-7D47E4E22256}"/>
    <hyperlink ref="E17" r:id="rId9" display="https://maisinternet.sharepoint.com/:f:/s/TI357/EiWerMRnhXFFlSXue9_v1EoBGXfHoRFqxEvvuUDiH-9A9A?e=E9WHbD" xr:uid="{717A40F0-EA5A-4EEB-8FFA-74CA598F6833}"/>
    <hyperlink ref="E20" r:id="rId10" display="31852" xr:uid="{E26901FA-B4C8-4586-A8C7-4E3AC916A0D1}"/>
    <hyperlink ref="E43" r:id="rId11" display="28189" xr:uid="{D5FEEC16-1552-4562-B1CC-D5BB8B7E9477}"/>
    <hyperlink ref="E27" r:id="rId12" display="https://maisinternet.sharepoint.com/:f:/s/TI357/EosEGSmnobNFu98sOS_MFygBKf9ghhkTLSvEQMtpu2nhOw?e=wiwQF4" xr:uid="{A3707E4E-504E-4BE0-83F7-04FAB6463432}"/>
    <hyperlink ref="E26" r:id="rId13" display="https://maisinternet.sharepoint.com/:f:/s/TI357/EuStip8pf3RGg4snwZliUakBKF1jQSRmyjHVq46osjNh2w?e=vE8Sjn" xr:uid="{93C3C81B-211A-4283-AA80-74236E898677}"/>
    <hyperlink ref="E25" r:id="rId14" display="https://maisinternet.sharepoint.com/:f:/s/TI357/En0VG9_dRcpLqwte4xktH9QBT7kXsrGgE0HFo7VIoPL-0w?e=ErgAkx" xr:uid="{16B55491-90BF-4F26-82D9-2AB90CFD8B05}"/>
    <hyperlink ref="E28" r:id="rId15" display="https://maisinternet.sharepoint.com/sites/TI357/Documentos%20Compartilhados/Forms/AllItems.aspx?id=%2Fsites%2FTI357%2FDocumentos%20Compartilhados%2FControle%20Patrimonio%20TI%2F040395&amp;p=true&amp;ga=1" xr:uid="{F3A7DB9D-2687-482B-A176-9AE3A6F82936}"/>
    <hyperlink ref="E29" r:id="rId16" display="https://maisinternet.sharepoint.com/sites/TI357/Documentos%20Compartilhados/Forms/AllItems.aspx?id=%2Fsites%2FTI357%2FDocumentos%20Compartilhados%2FControle%20Patrimonio%20TI%2F028191&amp;p=true&amp;ga=1" xr:uid="{E53C6696-5F9A-43BE-AF8E-B4B22193C153}"/>
    <hyperlink ref="E30" r:id="rId17" display="https://maisinternet.sharepoint.com/sites/TI357/Documentos%20Compartilhados/Forms/AllItems.aspx?id=%2Fsites%2FTI357%2FDocumentos%20Compartilhados%2FControle%20Patrimonio%20TI%2F028164&amp;p=true&amp;ga=1" xr:uid="{47BDEFE9-F874-4CDD-9CFB-FC185F9BFDBE}"/>
    <hyperlink ref="E35" r:id="rId18" display="https://maisinternet.sharepoint.com/sites/TI357/Documentos%20Compartilhados/Forms/AllItems.aspx?id=%2Fsites%2FTI357%2FDocumentos%20Compartilhados%2FControle%20Patrimonio%20TI%2F030736&amp;p=true&amp;ga=1" xr:uid="{BAA18B9A-C69D-4C15-A30D-72AD07247FFD}"/>
    <hyperlink ref="E31" r:id="rId19" display="https://maisinternet.sharepoint.com/sites/TI357/Documentos%20Compartilhados/Forms/AllItems.aspx?id=%2Fsites%2FTI357%2FDocumentos%20Compartilhados%2FControle%20Patrimonio%20TI%2F028169&amp;p=true&amp;ga=1" xr:uid="{C7E1E2F2-5FC1-4291-9F6D-C46A294E079B}"/>
    <hyperlink ref="E32" r:id="rId20" display="https://maisinternet.sharepoint.com/sites/TI357/Documentos%20Compartilhados/Forms/AllItems.aspx?id=%2Fsites%2FTI357%2FDocumentos%20Compartilhados%2FControle%20Patrimonio%20TI%2F028188&amp;p=true&amp;ga=1" xr:uid="{C80C8844-2BAA-4FA7-9737-98930370857B}"/>
    <hyperlink ref="E34" r:id="rId21" display="https://maisinternet.sharepoint.com/sites/TI357/Documentos%20Compartilhados/Forms/AllItems.aspx?id=%2Fsites%2FTI357%2FDocumentos%20Compartilhados%2FControle%20Patrimonio%20TI%2F028797&amp;p=true&amp;ga=1" xr:uid="{8738DF3F-4E9C-40F0-B858-093173AF48E6}"/>
    <hyperlink ref="E33" r:id="rId22" display="https://maisinternet.sharepoint.com/sites/TI357/Documentos%20Compartilhados/Forms/AllItems.aspx?id=%2Fsites%2FTI357%2FDocumentos%20Compartilhados%2FControle%20Patrimonio%20TI%2F028774&amp;p=true&amp;ga=1" xr:uid="{BCA190FC-AD66-4942-94A3-106C1D931F7E}"/>
    <hyperlink ref="E37" r:id="rId23" display="31893" xr:uid="{9DDC6924-06A3-41B1-B1B0-63A16716DD58}"/>
    <hyperlink ref="E36" r:id="rId24" display="https://maisinternet.sharepoint.com/:f:/s/TI357/Ej7MyUaffKtEqt8nnE1YihsBJhsJnDCes6bOWmFpkmVoYA?e=uJTNNe" xr:uid="{EAEF62D1-593E-4163-8D12-4872559EE348}"/>
    <hyperlink ref="G42" r:id="rId25" display="8340" xr:uid="{7A68B67B-9F11-430B-B0C1-DD177358294D}"/>
    <hyperlink ref="G40" r:id="rId26" display="31900" xr:uid="{E1219976-089F-453D-8830-BA2D8307094E}"/>
    <hyperlink ref="G39" r:id="rId27" display="26043" xr:uid="{4CF222E7-D498-4221-850C-F06346E26AE6}"/>
    <hyperlink ref="E38" r:id="rId28" display="https://maisinternet.sharepoint.com/:f:/s/TI357/ElHhmd5xEQJKqvsg6yNoxuIB5-gFbv7TS0lV6381BUxXIA?e=ECQ9Kc" xr:uid="{8A4F761D-A12A-4371-9ED6-AACFA37D1C76}"/>
    <hyperlink ref="G46" r:id="rId29" display="27506" xr:uid="{34F02760-BA09-4523-BDDF-6E0A6E31108A}"/>
    <hyperlink ref="G47" r:id="rId30" display="https://maisinternet.sharepoint.com/:f:/s/TI357/ElaKjAp0zP1IoTAdKGNYg04Bp25znSH8ZYxqveb1xxp7NQ?e=z2H41I" xr:uid="{FB4C1625-3F0A-4043-89CC-9B0F11DD777F}"/>
    <hyperlink ref="G48" r:id="rId31" display="https://maisinternet.sharepoint.com/:f:/s/TI357/EiT8dMWQPYtJsD7WdVIxPwwB2pFWaB959AYvlUAXYqT82g?e=pNu8ET" xr:uid="{08B70859-188F-4F2C-A419-DF7B49560664}"/>
    <hyperlink ref="G49" r:id="rId32" display="https://maisinternet.sharepoint.com/:f:/s/TI357/Emsfx7yZw5BDkECqsR40dEkBrW-faA97N0bRjvO5hwM4EA?e=OhoTS7" xr:uid="{941A51EA-4CD9-4335-B9D6-B1412B2664AC}"/>
    <hyperlink ref="G50" r:id="rId33" display="https://maisinternet.sharepoint.com/:f:/s/TI357/EqyLM6N6knlCpc87yDxM9vMBLZp5Tq8DihhfgirAzdKhXA?e=reGV8x" xr:uid="{2F3BD199-8E9A-4A7E-9EA8-878D293E88A4}"/>
    <hyperlink ref="G51" r:id="rId34" display="https://maisinternet.sharepoint.com/:f:/s/TI357/EqMRQ5j9InBEsBih2oqGrSoBDCpJjOwOqj19gML67vj-Mw?e=GjJU56" xr:uid="{F99A088B-C579-4B01-8D03-410DD9F28061}"/>
    <hyperlink ref="G53" r:id="rId35" display="27505" xr:uid="{223A7D0A-52EE-4159-9695-A70E4B572F2E}"/>
    <hyperlink ref="G52" r:id="rId36" display="https://maisinternet.sharepoint.com/:f:/s/TI357/EpT9S75s0VJIpPP1232Fzr4BVdBmj6zwqgvSqqukSOxGag?e=jLG9FR" xr:uid="{69E7EF9B-6694-43A5-AFC4-99848D254F2D}"/>
    <hyperlink ref="G45" r:id="rId37" display="27509" xr:uid="{1461BEFD-BA5A-4088-A5BC-3A52CA3B0CA0}"/>
    <hyperlink ref="G55" r:id="rId38" display="31892" xr:uid="{1A8BA1B8-9FF0-4C00-8A9E-25CF9F9A3683}"/>
    <hyperlink ref="H55" r:id="rId39" xr:uid="{8C5D7A34-7A80-4509-B448-35490D7FEFCF}"/>
    <hyperlink ref="G56" r:id="rId40" display="https://maisinternet.sharepoint.com/:f:/s/TI357/ElzStJILG3hPiyVRlnJpM1QB4mvPriq6iqs_QkXYAFU8Tw?e=QcwFYs" xr:uid="{B127D933-4E04-41FD-AA4D-138644085177}"/>
    <hyperlink ref="G57" r:id="rId41" display="https://maisinternet.sharepoint.com/:f:/s/TI357/En0WxGUy52pKsTFFQaxSO9YBheYJzW7VY6Yh4V9e0GT-eg?e=NmJdYP" xr:uid="{B7EFA4E4-16BA-4384-AC3F-2A1468F6B641}"/>
    <hyperlink ref="G58" r:id="rId42" display="28159" xr:uid="{49B2CA5D-D6CD-4335-A33B-CF696BAA0E6C}"/>
    <hyperlink ref="G59" r:id="rId43" display="28176" xr:uid="{DED5396E-B964-4F00-A4AF-4114B203E7DE}"/>
  </hyperlinks>
  <pageMargins left="0.7" right="0.7" top="0.75" bottom="0.75" header="0.3" footer="0.3"/>
  <tableParts count="1">
    <tablePart r:id="rId4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E8FA5-15EE-46E8-B0AD-BED7D3AB15DA}">
  <dimension ref="A1:DQ97"/>
  <sheetViews>
    <sheetView workbookViewId="0">
      <selection activeCell="D66" sqref="D66"/>
    </sheetView>
  </sheetViews>
  <sheetFormatPr defaultRowHeight="15"/>
  <cols>
    <col min="1" max="1" width="33.28515625" customWidth="1"/>
    <col min="2" max="2" width="16.85546875" customWidth="1"/>
    <col min="3" max="3" width="47.28515625" customWidth="1"/>
    <col min="4" max="4" width="33" bestFit="1" customWidth="1"/>
    <col min="5" max="5" width="39.42578125" customWidth="1"/>
    <col min="6" max="6" width="47.42578125" bestFit="1" customWidth="1"/>
  </cols>
  <sheetData>
    <row r="1" spans="1:1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43.5" customHeight="1">
      <c r="A2" s="14"/>
      <c r="B2" s="14"/>
      <c r="C2" s="38" t="s">
        <v>819</v>
      </c>
      <c r="D2" s="15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19" ht="9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19.5">
      <c r="A4" s="39" t="s">
        <v>203</v>
      </c>
      <c r="B4" s="39" t="s">
        <v>204</v>
      </c>
      <c r="C4" s="39" t="s">
        <v>207</v>
      </c>
      <c r="D4" s="39" t="s">
        <v>1</v>
      </c>
      <c r="E4" s="39" t="s">
        <v>820</v>
      </c>
      <c r="F4" s="39" t="s">
        <v>209</v>
      </c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</row>
    <row r="5" spans="1:19">
      <c r="A5" s="7" t="s">
        <v>821</v>
      </c>
      <c r="B5" s="7" t="s">
        <v>254</v>
      </c>
      <c r="C5" s="7"/>
      <c r="D5" s="7"/>
      <c r="E5" s="40">
        <v>44901</v>
      </c>
      <c r="F5" s="7" t="s">
        <v>822</v>
      </c>
    </row>
    <row r="6" spans="1:19">
      <c r="A6" s="7" t="s">
        <v>821</v>
      </c>
      <c r="B6" s="7" t="s">
        <v>823</v>
      </c>
      <c r="C6" s="7" t="str">
        <f>_xlfn.CONCAT(Funcionários!B30)</f>
        <v>CAROLINE FOGAÇA DA ROCHA</v>
      </c>
      <c r="D6" s="7" t="str">
        <f>_xlfn.CONCAT(Funcionários!C30)</f>
        <v>EXPERIENCIA DAS PESSOAS</v>
      </c>
      <c r="E6" s="40">
        <v>45531</v>
      </c>
      <c r="F6" s="7" t="s">
        <v>822</v>
      </c>
    </row>
    <row r="7" spans="1:19">
      <c r="A7" s="7" t="s">
        <v>821</v>
      </c>
      <c r="B7" s="7" t="s">
        <v>254</v>
      </c>
      <c r="C7" s="7" t="str">
        <f>_xlfn.CONCAT(Funcionários!B40)</f>
        <v>ANA LUIZA MATTIA DE LIMA</v>
      </c>
      <c r="D7" s="7" t="str">
        <f>_xlfn.CONCAT(Funcionários!C40)</f>
        <v>INTELIGENCIA DE DADOS</v>
      </c>
      <c r="E7" s="40">
        <v>44901</v>
      </c>
      <c r="F7" s="7" t="s">
        <v>824</v>
      </c>
    </row>
    <row r="8" spans="1:19">
      <c r="A8" s="7" t="s">
        <v>821</v>
      </c>
      <c r="B8" s="7" t="s">
        <v>254</v>
      </c>
      <c r="C8" s="7" t="str">
        <f>_xlfn.CONCAT(Funcionários!B17)</f>
        <v>LARISSA MAY BACK</v>
      </c>
      <c r="D8" s="7" t="str">
        <f>_xlfn.CONCAT(Setor!B8)</f>
        <v>FINANCEIRO</v>
      </c>
      <c r="E8" s="40">
        <v>44769</v>
      </c>
      <c r="F8" s="7" t="s">
        <v>822</v>
      </c>
    </row>
    <row r="9" spans="1:19">
      <c r="A9" s="7" t="s">
        <v>821</v>
      </c>
      <c r="B9" s="7" t="s">
        <v>254</v>
      </c>
      <c r="C9" s="7" t="str">
        <f>_xlfn.CONCAT(Funcionários!B35)</f>
        <v>WILLIAN RIBEIRO DE SOUZA</v>
      </c>
      <c r="D9" s="7" t="str">
        <f>_xlfn.CONCAT(Setor!B13)</f>
        <v>GESTÃO DE FORNECEDORES</v>
      </c>
      <c r="E9" s="40">
        <v>44802</v>
      </c>
      <c r="F9" s="7" t="s">
        <v>822</v>
      </c>
    </row>
    <row r="10" spans="1:19">
      <c r="A10" s="7" t="s">
        <v>821</v>
      </c>
      <c r="B10" s="7" t="s">
        <v>825</v>
      </c>
      <c r="C10" s="7"/>
      <c r="D10" s="7"/>
      <c r="E10" s="40">
        <v>44769</v>
      </c>
      <c r="F10" s="7" t="s">
        <v>826</v>
      </c>
    </row>
    <row r="11" spans="1:19">
      <c r="A11" s="7" t="s">
        <v>827</v>
      </c>
      <c r="B11" s="7" t="s">
        <v>828</v>
      </c>
      <c r="C11" s="7" t="str">
        <f>_xlfn.CONCAT(Funcionários!B17)</f>
        <v>LARISSA MAY BACK</v>
      </c>
      <c r="D11" s="7" t="str">
        <f>_xlfn.CONCAT(Setor!B8)</f>
        <v>FINANCEIRO</v>
      </c>
      <c r="E11" s="40">
        <v>44770</v>
      </c>
      <c r="F11" s="7" t="s">
        <v>822</v>
      </c>
    </row>
    <row r="12" spans="1:19">
      <c r="A12" s="7" t="s">
        <v>827</v>
      </c>
      <c r="B12" s="7" t="s">
        <v>828</v>
      </c>
      <c r="C12" s="7" t="str">
        <f>_xlfn.CONCAT(Funcionários!B28)</f>
        <v>VANDERLEI MANENTTI SCOTT</v>
      </c>
      <c r="D12" s="7" t="str">
        <f>_xlfn.CONCAT(Setor!B16)</f>
        <v>DIRETORIA</v>
      </c>
      <c r="E12" s="40">
        <v>44772</v>
      </c>
      <c r="F12" s="7" t="s">
        <v>822</v>
      </c>
    </row>
    <row r="13" spans="1:19">
      <c r="A13" s="7" t="s">
        <v>827</v>
      </c>
      <c r="B13" s="7" t="s">
        <v>828</v>
      </c>
      <c r="C13" s="7"/>
      <c r="D13" s="7"/>
      <c r="E13" s="40">
        <v>44833</v>
      </c>
      <c r="F13" s="7" t="s">
        <v>822</v>
      </c>
    </row>
    <row r="14" spans="1:19">
      <c r="A14" s="7" t="s">
        <v>827</v>
      </c>
      <c r="B14" s="7" t="s">
        <v>829</v>
      </c>
      <c r="C14" s="7" t="str">
        <f>_xlfn.CONCAT(Funcionários!B76)</f>
        <v>RUTH MARTINS</v>
      </c>
      <c r="D14" s="7" t="str">
        <f>_xlfn.CONCAT(Setor!B8)</f>
        <v>FINANCEIRO</v>
      </c>
      <c r="E14" s="40">
        <v>44774</v>
      </c>
      <c r="F14" s="7" t="s">
        <v>822</v>
      </c>
    </row>
    <row r="15" spans="1:19">
      <c r="A15" s="7" t="s">
        <v>830</v>
      </c>
      <c r="B15" s="7" t="s">
        <v>829</v>
      </c>
      <c r="C15" s="7" t="str">
        <f>_xlfn.CONCAT(Funcionários!B6)</f>
        <v>FELIPE FOLSTER</v>
      </c>
      <c r="D15" s="7" t="str">
        <f>_xlfn.CONCAT(Setor!B7)</f>
        <v>INTELIGENCIA DE REDES</v>
      </c>
      <c r="E15" s="40">
        <v>44772</v>
      </c>
      <c r="F15" s="7" t="s">
        <v>822</v>
      </c>
    </row>
    <row r="16" spans="1:19">
      <c r="A16" s="7" t="s">
        <v>831</v>
      </c>
      <c r="B16" s="7" t="s">
        <v>829</v>
      </c>
      <c r="C16" s="7" t="str">
        <f>_xlfn.CONCAT(Funcionários!B21)</f>
        <v>MILENE CRISTINA DA SILVA</v>
      </c>
      <c r="D16" s="7" t="str">
        <f>_xlfn.CONCAT(Funcionários!C21)</f>
        <v>FINANCEIRO</v>
      </c>
      <c r="E16" s="40">
        <v>45152</v>
      </c>
      <c r="F16" s="7" t="s">
        <v>822</v>
      </c>
    </row>
    <row r="17" spans="1:6">
      <c r="A17" s="7" t="s">
        <v>827</v>
      </c>
      <c r="B17" s="7" t="s">
        <v>829</v>
      </c>
      <c r="C17" s="7" t="e">
        <f>_xlfn.CONCAT(Funcionários!#REF!)</f>
        <v>#REF!</v>
      </c>
      <c r="D17" s="7" t="str">
        <f>_xlfn.CONCAT(Setor!B9)</f>
        <v>COMERCIAL</v>
      </c>
      <c r="E17" s="40">
        <v>44772</v>
      </c>
      <c r="F17" s="7" t="s">
        <v>822</v>
      </c>
    </row>
    <row r="18" spans="1:6">
      <c r="A18" s="7" t="s">
        <v>832</v>
      </c>
      <c r="B18" s="7" t="s">
        <v>829</v>
      </c>
      <c r="C18" s="7" t="str">
        <f>_xlfn.CONCAT(Funcionários!B40)</f>
        <v>ANA LUIZA MATTIA DE LIMA</v>
      </c>
      <c r="D18" s="7" t="str">
        <f>_xlfn.CONCAT(Setor!B5)</f>
        <v>RELACIONAMENTO COM O CLIENTE</v>
      </c>
      <c r="E18" s="40">
        <v>45182</v>
      </c>
      <c r="F18" s="7" t="s">
        <v>822</v>
      </c>
    </row>
    <row r="19" spans="1:6">
      <c r="A19" s="7" t="s">
        <v>833</v>
      </c>
      <c r="B19" s="7" t="s">
        <v>829</v>
      </c>
      <c r="C19" s="7" t="str">
        <f>_xlfn.CONCAT(Funcionários!B28)</f>
        <v>VANDERLEI MANENTTI SCOTT</v>
      </c>
      <c r="D19" s="7" t="str">
        <f>_xlfn.CONCAT(Setor!B16)</f>
        <v>DIRETORIA</v>
      </c>
      <c r="E19" s="40">
        <v>44804</v>
      </c>
      <c r="F19" s="7" t="s">
        <v>822</v>
      </c>
    </row>
    <row r="20" spans="1:6">
      <c r="A20" s="7" t="s">
        <v>834</v>
      </c>
      <c r="B20" s="7" t="s">
        <v>835</v>
      </c>
      <c r="C20" s="7" t="s">
        <v>836</v>
      </c>
      <c r="D20" s="7" t="str">
        <f>_xlfn.CONCAT(Setor!B7)</f>
        <v>INTELIGENCIA DE REDES</v>
      </c>
      <c r="E20" s="40">
        <v>44806</v>
      </c>
      <c r="F20" s="7" t="s">
        <v>822</v>
      </c>
    </row>
    <row r="21" spans="1:6">
      <c r="A21" s="7" t="s">
        <v>834</v>
      </c>
      <c r="B21" s="7" t="s">
        <v>835</v>
      </c>
      <c r="C21" s="7" t="str">
        <f>_xlfn.CONCAT(Funcionários!B35)</f>
        <v>WILLIAN RIBEIRO DE SOUZA</v>
      </c>
      <c r="D21" s="7" t="str">
        <f>_xlfn.CONCAT(Funcionários!C35)</f>
        <v>GESTÃO DE FORNECEDORES</v>
      </c>
      <c r="E21" s="40">
        <v>44980</v>
      </c>
      <c r="F21" s="7" t="s">
        <v>822</v>
      </c>
    </row>
    <row r="22" spans="1:6">
      <c r="A22" s="7" t="s">
        <v>834</v>
      </c>
      <c r="B22" s="7" t="s">
        <v>835</v>
      </c>
      <c r="C22" s="7" t="str">
        <f>_xlfn.CONCAT(Funcionários!B22)</f>
        <v>AMANDA ISSLER NERY</v>
      </c>
      <c r="D22" s="7" t="str">
        <f>_xlfn.CONCAT(Funcionários!C22)</f>
        <v>COMERCIAL</v>
      </c>
      <c r="E22" s="40">
        <v>45180</v>
      </c>
      <c r="F22" s="7" t="s">
        <v>837</v>
      </c>
    </row>
    <row r="23" spans="1:6">
      <c r="A23" s="7" t="s">
        <v>834</v>
      </c>
      <c r="B23" s="7" t="s">
        <v>835</v>
      </c>
      <c r="C23" s="7" t="str">
        <f>_xlfn.CONCAT(Funcionários!B78)</f>
        <v>VINICIUS PLETICOS</v>
      </c>
      <c r="D23" s="7" t="str">
        <f>_xlfn.CONCAT(Funcionários!C78)</f>
        <v>RELACIONAMENTO COM O CLIENTE</v>
      </c>
      <c r="E23" s="40">
        <v>44806</v>
      </c>
      <c r="F23" s="7" t="s">
        <v>822</v>
      </c>
    </row>
    <row r="24" spans="1:6">
      <c r="A24" s="7" t="s">
        <v>821</v>
      </c>
      <c r="B24" s="7" t="s">
        <v>254</v>
      </c>
      <c r="C24" s="7" t="s">
        <v>798</v>
      </c>
      <c r="D24" s="7"/>
      <c r="E24" s="40">
        <v>44832</v>
      </c>
      <c r="F24" s="7" t="s">
        <v>822</v>
      </c>
    </row>
    <row r="25" spans="1:6">
      <c r="A25" s="7" t="s">
        <v>821</v>
      </c>
      <c r="B25" s="7" t="s">
        <v>254</v>
      </c>
      <c r="C25" s="7" t="str">
        <f>_xlfn.CONCAT(Funcionários!B76)</f>
        <v>RUTH MARTINS</v>
      </c>
      <c r="D25" s="7" t="str">
        <f>_xlfn.CONCAT(Setor!B8)</f>
        <v>FINANCEIRO</v>
      </c>
      <c r="E25" s="40">
        <v>44827</v>
      </c>
      <c r="F25" s="7" t="s">
        <v>822</v>
      </c>
    </row>
    <row r="26" spans="1:6">
      <c r="A26" s="7" t="s">
        <v>821</v>
      </c>
      <c r="B26" s="7" t="s">
        <v>254</v>
      </c>
      <c r="C26" s="7" t="str">
        <f>_xlfn.CONCAT(Funcionários!B24)</f>
        <v>VITOR ADRIANO COELHO</v>
      </c>
      <c r="D26" s="7" t="str">
        <f>_xlfn.CONCAT(Funcionários!C24)</f>
        <v>COMERCIAL</v>
      </c>
      <c r="E26" s="40">
        <v>44833</v>
      </c>
      <c r="F26" s="7" t="s">
        <v>822</v>
      </c>
    </row>
    <row r="27" spans="1:6">
      <c r="A27" s="7" t="s">
        <v>821</v>
      </c>
      <c r="B27" s="7" t="s">
        <v>254</v>
      </c>
      <c r="C27" s="7" t="str">
        <f>_xlfn.CONCAT(Funcionários!B31)</f>
        <v>LETICIA EMANUELE DE OLIVEIRA</v>
      </c>
      <c r="D27" s="7" t="str">
        <f>_xlfn.CONCAT(Funcionários!C31)</f>
        <v>EXPERIENCIA DAS PESSOAS</v>
      </c>
      <c r="E27" s="40">
        <v>44986</v>
      </c>
      <c r="F27" s="7" t="s">
        <v>824</v>
      </c>
    </row>
    <row r="28" spans="1:6">
      <c r="A28" s="7" t="s">
        <v>821</v>
      </c>
      <c r="B28" s="7" t="s">
        <v>254</v>
      </c>
      <c r="C28" s="7" t="str">
        <f>_xlfn.CONCAT(Funcionários!B49)</f>
        <v>EDUARDA VIEIRA</v>
      </c>
      <c r="D28" s="7" t="str">
        <f>_xlfn.CONCAT(Setor!B5)</f>
        <v>RELACIONAMENTO COM O CLIENTE</v>
      </c>
      <c r="E28" s="40">
        <v>44844</v>
      </c>
      <c r="F28" s="7" t="s">
        <v>822</v>
      </c>
    </row>
    <row r="29" spans="1:6">
      <c r="A29" s="57" t="s">
        <v>827</v>
      </c>
      <c r="B29" s="57" t="s">
        <v>829</v>
      </c>
      <c r="C29" s="57" t="str">
        <f>_xlfn.CONCAT(Funcionários!B24)</f>
        <v>VITOR ADRIANO COELHO</v>
      </c>
      <c r="D29" s="57" t="str">
        <f>_xlfn.CONCAT(Funcionários!C24)</f>
        <v>COMERCIAL</v>
      </c>
      <c r="E29" s="58">
        <v>44860</v>
      </c>
      <c r="F29" s="57" t="s">
        <v>822</v>
      </c>
    </row>
    <row r="30" spans="1:6">
      <c r="A30" s="57" t="s">
        <v>838</v>
      </c>
      <c r="B30" s="57" t="s">
        <v>829</v>
      </c>
      <c r="C30" s="57" t="e">
        <f>_xlfn.CONCAT(Funcionários!#REF!)</f>
        <v>#REF!</v>
      </c>
      <c r="D30" s="57" t="str">
        <f>_xlfn.CONCAT(Funcionários!C35)</f>
        <v>GESTÃO DE FORNECEDORES</v>
      </c>
      <c r="E30" s="58">
        <v>44858</v>
      </c>
      <c r="F30" s="57" t="s">
        <v>822</v>
      </c>
    </row>
    <row r="31" spans="1:6">
      <c r="A31" s="57" t="s">
        <v>838</v>
      </c>
      <c r="B31" s="57" t="s">
        <v>829</v>
      </c>
      <c r="C31" s="57" t="str">
        <f>_xlfn.CONCAT(Funcionários!B35)</f>
        <v>WILLIAN RIBEIRO DE SOUZA</v>
      </c>
      <c r="D31" s="57" t="str">
        <f>_xlfn.CONCAT(Funcionários!C35)</f>
        <v>GESTÃO DE FORNECEDORES</v>
      </c>
      <c r="E31" s="58">
        <v>44858</v>
      </c>
      <c r="F31" s="57" t="s">
        <v>822</v>
      </c>
    </row>
    <row r="32" spans="1:6">
      <c r="A32" s="57" t="s">
        <v>839</v>
      </c>
      <c r="B32" s="57" t="s">
        <v>840</v>
      </c>
      <c r="C32" s="57" t="str">
        <f>_xlfn.CONCAT(Funcionários!B69)</f>
        <v>JONIEL CORREA DA SILVA</v>
      </c>
      <c r="D32" s="57" t="str">
        <f>_xlfn.CONCAT(Funcionários!C69)</f>
        <v>RELACIONAMENTO COM O CLIENTE</v>
      </c>
      <c r="E32" s="58">
        <v>44873</v>
      </c>
      <c r="F32" s="57" t="s">
        <v>824</v>
      </c>
    </row>
    <row r="33" spans="1:6">
      <c r="A33" s="7" t="s">
        <v>838</v>
      </c>
      <c r="B33" s="7" t="s">
        <v>829</v>
      </c>
      <c r="C33" s="7" t="str">
        <f>_xlfn.CONCAT(Funcionários!B31)</f>
        <v>LETICIA EMANUELE DE OLIVEIRA</v>
      </c>
      <c r="D33" s="7" t="str">
        <f>_xlfn.CONCAT(Funcionários!C31)</f>
        <v>EXPERIENCIA DAS PESSOAS</v>
      </c>
      <c r="E33" s="40">
        <v>44893</v>
      </c>
      <c r="F33" s="7" t="s">
        <v>822</v>
      </c>
    </row>
    <row r="34" spans="1:6">
      <c r="A34" s="7" t="s">
        <v>827</v>
      </c>
      <c r="B34" s="7" t="s">
        <v>829</v>
      </c>
      <c r="C34" s="7" t="str">
        <f>_xlfn.CONCAT(Funcionários!B9)</f>
        <v>LUIZA CUNHA SENA</v>
      </c>
      <c r="D34" s="7" t="s">
        <v>195</v>
      </c>
      <c r="E34" s="40">
        <v>44893</v>
      </c>
      <c r="F34" s="7" t="s">
        <v>822</v>
      </c>
    </row>
    <row r="35" spans="1:6">
      <c r="A35" s="7" t="s">
        <v>838</v>
      </c>
      <c r="B35" s="7" t="s">
        <v>829</v>
      </c>
      <c r="C35" s="7" t="str">
        <f>_xlfn.CONCAT(Funcionários!B40)</f>
        <v>ANA LUIZA MATTIA DE LIMA</v>
      </c>
      <c r="D35" s="7" t="str">
        <f>_xlfn.CONCAT(Funcionários!C40)</f>
        <v>INTELIGENCIA DE DADOS</v>
      </c>
      <c r="E35" s="40">
        <v>44893</v>
      </c>
      <c r="F35" s="7" t="s">
        <v>822</v>
      </c>
    </row>
    <row r="36" spans="1:6">
      <c r="A36" s="7" t="s">
        <v>833</v>
      </c>
      <c r="B36" s="7" t="s">
        <v>527</v>
      </c>
      <c r="C36" s="7" t="str">
        <f>_xlfn.CONCAT(Funcionários!B28)</f>
        <v>VANDERLEI MANENTTI SCOTT</v>
      </c>
      <c r="D36" s="7" t="s">
        <v>29</v>
      </c>
      <c r="E36" s="40">
        <v>45492</v>
      </c>
      <c r="F36" s="7" t="s">
        <v>822</v>
      </c>
    </row>
    <row r="37" spans="1:6">
      <c r="A37" s="7" t="s">
        <v>841</v>
      </c>
      <c r="B37" s="7" t="s">
        <v>829</v>
      </c>
      <c r="C37" s="7" t="str">
        <f>_xlfn.CONCAT(Funcionários!B35)</f>
        <v>WILLIAN RIBEIRO DE SOUZA</v>
      </c>
      <c r="D37" s="7" t="str">
        <f>_xlfn.CONCAT(Funcionários!C35)</f>
        <v>GESTÃO DE FORNECEDORES</v>
      </c>
      <c r="E37" s="40">
        <v>44893</v>
      </c>
      <c r="F37" s="7" t="s">
        <v>822</v>
      </c>
    </row>
    <row r="38" spans="1:6" ht="15.75" customHeight="1">
      <c r="A38" s="7" t="s">
        <v>838</v>
      </c>
      <c r="B38" s="7" t="s">
        <v>829</v>
      </c>
      <c r="C38" s="7"/>
      <c r="D38" s="60"/>
      <c r="E38" s="40">
        <v>44895</v>
      </c>
      <c r="F38" s="7" t="s">
        <v>822</v>
      </c>
    </row>
    <row r="39" spans="1:6">
      <c r="A39" s="7" t="s">
        <v>838</v>
      </c>
      <c r="B39" s="7" t="s">
        <v>829</v>
      </c>
      <c r="C39" s="7" t="s">
        <v>842</v>
      </c>
      <c r="D39" s="7" t="s">
        <v>169</v>
      </c>
      <c r="E39" s="40">
        <v>44909</v>
      </c>
      <c r="F39" s="7" t="s">
        <v>822</v>
      </c>
    </row>
    <row r="40" spans="1:6">
      <c r="A40" s="7" t="s">
        <v>838</v>
      </c>
      <c r="B40" s="7" t="s">
        <v>829</v>
      </c>
      <c r="C40" s="7"/>
      <c r="D40" s="7"/>
      <c r="E40" s="40">
        <v>44910</v>
      </c>
      <c r="F40" s="7" t="s">
        <v>822</v>
      </c>
    </row>
    <row r="41" spans="1:6">
      <c r="A41" s="7" t="s">
        <v>843</v>
      </c>
      <c r="B41" s="7" t="s">
        <v>829</v>
      </c>
      <c r="C41" s="7" t="str">
        <f>_xlfn.CONCAT(Funcionários!B35)</f>
        <v>WILLIAN RIBEIRO DE SOUZA</v>
      </c>
      <c r="D41" s="7" t="str">
        <f>_xlfn.CONCAT(Funcionários!C35)</f>
        <v>GESTÃO DE FORNECEDORES</v>
      </c>
      <c r="E41" s="40">
        <v>45009</v>
      </c>
      <c r="F41" s="7" t="s">
        <v>822</v>
      </c>
    </row>
    <row r="42" spans="1:6">
      <c r="A42" s="7" t="s">
        <v>830</v>
      </c>
      <c r="B42" s="7" t="s">
        <v>829</v>
      </c>
      <c r="C42" s="7" t="str">
        <f>_xlfn.CONCAT(Funcionários!B35)</f>
        <v>WILLIAN RIBEIRO DE SOUZA</v>
      </c>
      <c r="D42" s="7" t="str">
        <f>_xlfn.CONCAT(Funcionários!C35)</f>
        <v>GESTÃO DE FORNECEDORES</v>
      </c>
      <c r="E42" s="40">
        <v>44901</v>
      </c>
      <c r="F42" s="7" t="s">
        <v>822</v>
      </c>
    </row>
    <row r="43" spans="1:6">
      <c r="A43" s="7" t="s">
        <v>827</v>
      </c>
      <c r="B43" s="7" t="s">
        <v>829</v>
      </c>
      <c r="C43" s="7" t="str">
        <f>_xlfn.CONCAT(Funcionários!B26)</f>
        <v>JULIO CESAR DA SILVA</v>
      </c>
      <c r="D43" s="7" t="str">
        <f>_xlfn.CONCAT(Funcionários!C26)</f>
        <v>COMERCIAL</v>
      </c>
      <c r="E43" s="40">
        <v>44953</v>
      </c>
      <c r="F43" s="7" t="s">
        <v>822</v>
      </c>
    </row>
    <row r="44" spans="1:6">
      <c r="A44" s="7" t="s">
        <v>821</v>
      </c>
      <c r="B44" s="7" t="s">
        <v>844</v>
      </c>
      <c r="C44" s="7" t="s">
        <v>6</v>
      </c>
      <c r="D44" s="7" t="s">
        <v>52</v>
      </c>
      <c r="E44" s="40">
        <v>45196</v>
      </c>
      <c r="F44" s="7" t="s">
        <v>822</v>
      </c>
    </row>
    <row r="45" spans="1:6">
      <c r="A45" s="7" t="s">
        <v>821</v>
      </c>
      <c r="B45" s="7" t="s">
        <v>844</v>
      </c>
      <c r="C45" s="7" t="str">
        <f>_xlfn.CONCAT(Funcionários!B38)</f>
        <v>MARIANI PIERRI</v>
      </c>
      <c r="D45" s="7" t="str">
        <f>_xlfn.CONCAT(Funcionários!C38)</f>
        <v>RELACIONAMENTO COM O CLIENTE</v>
      </c>
      <c r="E45" s="40">
        <v>44985</v>
      </c>
      <c r="F45" s="7" t="s">
        <v>822</v>
      </c>
    </row>
    <row r="46" spans="1:6">
      <c r="A46" s="7" t="s">
        <v>821</v>
      </c>
      <c r="B46" s="7" t="s">
        <v>844</v>
      </c>
      <c r="C46" s="7" t="str">
        <f>_xlfn.CONCAT(Funcionários!B84)</f>
        <v>RAKELI VIEIRA</v>
      </c>
      <c r="D46" s="7" t="str">
        <f>_xlfn.CONCAT(Funcionários!C84)</f>
        <v>RELACIONAMENTO COM O CLIENTE</v>
      </c>
      <c r="E46" s="40">
        <v>44985</v>
      </c>
      <c r="F46" s="7" t="s">
        <v>822</v>
      </c>
    </row>
    <row r="47" spans="1:6">
      <c r="A47" s="7" t="s">
        <v>821</v>
      </c>
      <c r="B47" s="7" t="s">
        <v>844</v>
      </c>
      <c r="C47" s="7" t="str">
        <f>_xlfn.CONCAT(Funcionários!B26)</f>
        <v>JULIO CESAR DA SILVA</v>
      </c>
      <c r="D47" s="7" t="str">
        <f>_xlfn.CONCAT(Funcionários!C26)</f>
        <v>COMERCIAL</v>
      </c>
      <c r="E47" s="40">
        <v>45034</v>
      </c>
      <c r="F47" s="7" t="s">
        <v>822</v>
      </c>
    </row>
    <row r="48" spans="1:6">
      <c r="A48" s="7" t="s">
        <v>821</v>
      </c>
      <c r="B48" s="7" t="s">
        <v>844</v>
      </c>
      <c r="C48" s="7" t="e">
        <f>_xlfn.CONCAT(Funcionários!#REF!)</f>
        <v>#REF!</v>
      </c>
      <c r="D48" s="7" t="e">
        <f>_xlfn.CONCAT(Funcionários!#REF!)</f>
        <v>#REF!</v>
      </c>
      <c r="E48" s="40">
        <v>45009</v>
      </c>
      <c r="F48" s="7" t="s">
        <v>822</v>
      </c>
    </row>
    <row r="49" spans="1:121">
      <c r="A49" s="7" t="s">
        <v>821</v>
      </c>
      <c r="B49" s="7" t="s">
        <v>844</v>
      </c>
      <c r="C49" s="7" t="str">
        <f>_xlfn.CONCAT(Funcionários!B22)</f>
        <v>AMANDA ISSLER NERY</v>
      </c>
      <c r="D49" s="7" t="str">
        <f>_xlfn.CONCAT(Funcionários!C22)</f>
        <v>COMERCIAL</v>
      </c>
      <c r="E49" s="40">
        <v>45065</v>
      </c>
      <c r="F49" s="7" t="s">
        <v>822</v>
      </c>
    </row>
    <row r="50" spans="1:121">
      <c r="A50" s="7" t="s">
        <v>821</v>
      </c>
      <c r="B50" s="7" t="s">
        <v>844</v>
      </c>
      <c r="C50" s="7" t="e">
        <f>_xlfn.CONCAT(Funcionários!#REF!)</f>
        <v>#REF!</v>
      </c>
      <c r="D50" s="7" t="e">
        <f>_xlfn.CONCAT(Funcionários!#REF!)</f>
        <v>#REF!</v>
      </c>
      <c r="E50" s="40">
        <v>45065</v>
      </c>
      <c r="F50" s="7" t="s">
        <v>822</v>
      </c>
    </row>
    <row r="51" spans="1:121">
      <c r="A51" s="7" t="s">
        <v>821</v>
      </c>
      <c r="B51" s="7" t="s">
        <v>844</v>
      </c>
      <c r="C51" s="7" t="str">
        <f>_xlfn.CONCAT(Funcionários!B40)</f>
        <v>ANA LUIZA MATTIA DE LIMA</v>
      </c>
      <c r="D51" s="7" t="str">
        <f>_xlfn.CONCAT(Funcionários!C40)</f>
        <v>INTELIGENCIA DE DADOS</v>
      </c>
      <c r="E51" s="40">
        <v>45009</v>
      </c>
      <c r="F51" s="7" t="s">
        <v>822</v>
      </c>
    </row>
    <row r="52" spans="1:121">
      <c r="A52" s="7" t="s">
        <v>821</v>
      </c>
      <c r="B52" s="7" t="s">
        <v>844</v>
      </c>
      <c r="C52" s="7"/>
      <c r="D52" s="7"/>
      <c r="E52" s="40">
        <v>44977</v>
      </c>
      <c r="F52" s="7" t="s">
        <v>822</v>
      </c>
    </row>
    <row r="53" spans="1:121" s="7" customFormat="1">
      <c r="A53" s="7" t="s">
        <v>827</v>
      </c>
      <c r="B53" s="7" t="s">
        <v>829</v>
      </c>
      <c r="C53" s="7" t="str">
        <f>_xlfn.CONCAT(Funcionários!B47)</f>
        <v>MANUELLA GUIMARÃES</v>
      </c>
      <c r="D53" s="7" t="str">
        <f>_xlfn.CONCAT(Funcionários!C49)</f>
        <v>RELACIONAMENTO COM O CLIENTE</v>
      </c>
      <c r="E53" s="40">
        <v>44938</v>
      </c>
      <c r="F53" s="7" t="s">
        <v>822</v>
      </c>
    </row>
    <row r="54" spans="1:121" s="7" customFormat="1">
      <c r="A54" s="7" t="s">
        <v>821</v>
      </c>
      <c r="B54" s="7" t="s">
        <v>844</v>
      </c>
      <c r="C54" s="7" t="str">
        <f>_xlfn.CONCAT(Funcionários!B23)</f>
        <v>CLEYLSON DA SILVA PIMENTEL</v>
      </c>
      <c r="D54" s="7" t="str">
        <f>_xlfn.CONCAT(Funcionários!C23)</f>
        <v>COMERCIAL</v>
      </c>
      <c r="E54" s="40">
        <v>45002</v>
      </c>
      <c r="F54" s="7" t="s">
        <v>822</v>
      </c>
    </row>
    <row r="55" spans="1:121" s="7" customFormat="1">
      <c r="A55" s="7" t="s">
        <v>832</v>
      </c>
      <c r="B55" s="7" t="s">
        <v>829</v>
      </c>
      <c r="C55" s="7" t="str">
        <f>_xlfn.CONCAT(Funcionários!B23)</f>
        <v>CLEYLSON DA SILVA PIMENTEL</v>
      </c>
      <c r="D55" s="7" t="str">
        <f>_xlfn.CONCAT(Funcionários!C23)</f>
        <v>COMERCIAL</v>
      </c>
      <c r="E55" s="40">
        <v>44974</v>
      </c>
      <c r="F55" s="7" t="s">
        <v>822</v>
      </c>
    </row>
    <row r="56" spans="1:121" s="7" customFormat="1">
      <c r="A56" s="7" t="s">
        <v>827</v>
      </c>
      <c r="B56" s="7" t="s">
        <v>829</v>
      </c>
      <c r="C56" s="7" t="e">
        <f>_xlfn.CONCAT(Funcionários!#REF!)</f>
        <v>#REF!</v>
      </c>
      <c r="D56" s="7" t="e">
        <f>_xlfn.CONCAT(Funcionários!#REF!)</f>
        <v>#REF!</v>
      </c>
      <c r="E56" s="40">
        <v>45068</v>
      </c>
      <c r="F56" s="7" t="s">
        <v>822</v>
      </c>
    </row>
    <row r="57" spans="1:121" s="7" customFormat="1">
      <c r="A57" s="7" t="s">
        <v>827</v>
      </c>
      <c r="B57" s="7" t="s">
        <v>829</v>
      </c>
      <c r="C57" s="7" t="str">
        <f>_xlfn.CONCAT(Funcionários!B22)</f>
        <v>AMANDA ISSLER NERY</v>
      </c>
      <c r="D57" s="7" t="str">
        <f>_xlfn.CONCAT(Funcionários!C22)</f>
        <v>COMERCIAL</v>
      </c>
      <c r="E57" s="40">
        <v>45068</v>
      </c>
      <c r="F57" s="7" t="s">
        <v>822</v>
      </c>
    </row>
    <row r="58" spans="1:121" s="62" customFormat="1">
      <c r="A58" s="7" t="s">
        <v>827</v>
      </c>
      <c r="B58" s="7" t="s">
        <v>829</v>
      </c>
      <c r="C58" s="7" t="str">
        <f>_xlfn.CONCAT(Funcionários!B39)</f>
        <v>EDUARDO OLIVEIRA</v>
      </c>
      <c r="D58" s="7" t="str">
        <f>_xlfn.CONCAT(Funcionários!C39)</f>
        <v>RELACIONAMENTO COM O CLIENTE</v>
      </c>
      <c r="E58" s="40">
        <v>44974</v>
      </c>
      <c r="F58" s="7" t="s">
        <v>822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</row>
    <row r="59" spans="1:121" s="62" customFormat="1">
      <c r="A59" s="7" t="s">
        <v>830</v>
      </c>
      <c r="B59" s="7" t="s">
        <v>829</v>
      </c>
      <c r="C59" s="7" t="e">
        <f>_xlfn.CONCAT(Funcionários!#REF!)</f>
        <v>#REF!</v>
      </c>
      <c r="D59" s="7" t="e">
        <f>_xlfn.CONCAT(Funcionários!#REF!)</f>
        <v>#REF!</v>
      </c>
      <c r="E59" s="40">
        <v>44978</v>
      </c>
      <c r="F59" s="7" t="s">
        <v>822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</row>
    <row r="60" spans="1:121" s="7" customFormat="1">
      <c r="A60" s="7" t="s">
        <v>845</v>
      </c>
      <c r="B60" s="7" t="s">
        <v>846</v>
      </c>
      <c r="C60" s="7" t="str">
        <f>_xlfn.CONCAT(Funcionários!B59)</f>
        <v>JULIO CESAR COUSSEAU DOS SANTOS</v>
      </c>
      <c r="D60" s="7" t="str">
        <f>_xlfn.CONCAT(Funcionários!C59)</f>
        <v>RELACIONAMENTO COM O CLIENTE</v>
      </c>
      <c r="E60" s="40">
        <v>44977</v>
      </c>
      <c r="F60" s="7" t="s">
        <v>822</v>
      </c>
    </row>
    <row r="61" spans="1:121" s="7" customFormat="1">
      <c r="A61" s="7" t="s">
        <v>827</v>
      </c>
      <c r="B61" s="7" t="s">
        <v>829</v>
      </c>
      <c r="E61" s="40">
        <v>45012</v>
      </c>
      <c r="F61" s="7" t="s">
        <v>822</v>
      </c>
    </row>
    <row r="62" spans="1:121">
      <c r="A62" s="7" t="s">
        <v>827</v>
      </c>
      <c r="B62" s="7" t="s">
        <v>829</v>
      </c>
      <c r="C62" s="7"/>
      <c r="D62" s="7"/>
      <c r="E62" s="40">
        <v>44939</v>
      </c>
      <c r="F62" s="7" t="s">
        <v>822</v>
      </c>
    </row>
    <row r="63" spans="1:121">
      <c r="A63" s="7" t="s">
        <v>847</v>
      </c>
      <c r="B63" s="7" t="s">
        <v>848</v>
      </c>
      <c r="C63" s="7" t="s">
        <v>849</v>
      </c>
      <c r="D63" s="7" t="s">
        <v>850</v>
      </c>
      <c r="E63" s="40">
        <v>44999</v>
      </c>
      <c r="F63" s="7" t="s">
        <v>822</v>
      </c>
    </row>
    <row r="64" spans="1:121">
      <c r="A64" s="7" t="s">
        <v>847</v>
      </c>
      <c r="B64" s="7" t="s">
        <v>848</v>
      </c>
      <c r="C64" s="7" t="s">
        <v>851</v>
      </c>
      <c r="D64" s="7" t="s">
        <v>850</v>
      </c>
      <c r="E64" s="40">
        <v>44981</v>
      </c>
      <c r="F64" s="7" t="s">
        <v>822</v>
      </c>
    </row>
    <row r="65" spans="1:6">
      <c r="A65" s="7" t="s">
        <v>847</v>
      </c>
      <c r="B65" s="7" t="s">
        <v>848</v>
      </c>
      <c r="C65" s="7" t="s">
        <v>852</v>
      </c>
      <c r="D65" s="7" t="s">
        <v>850</v>
      </c>
      <c r="E65" s="40">
        <v>44981</v>
      </c>
      <c r="F65" s="7" t="s">
        <v>822</v>
      </c>
    </row>
    <row r="66" spans="1:6">
      <c r="A66" s="7" t="s">
        <v>847</v>
      </c>
      <c r="B66" s="7" t="s">
        <v>848</v>
      </c>
      <c r="C66" s="7" t="s">
        <v>853</v>
      </c>
      <c r="D66" s="7" t="s">
        <v>850</v>
      </c>
      <c r="E66" s="40">
        <v>44981</v>
      </c>
      <c r="F66" s="7" t="s">
        <v>822</v>
      </c>
    </row>
    <row r="67" spans="1:6">
      <c r="A67" s="7" t="s">
        <v>847</v>
      </c>
      <c r="B67" s="7" t="s">
        <v>848</v>
      </c>
      <c r="C67" s="7" t="s">
        <v>854</v>
      </c>
      <c r="D67" s="7" t="s">
        <v>850</v>
      </c>
      <c r="E67" s="40">
        <v>44981</v>
      </c>
      <c r="F67" s="7" t="s">
        <v>822</v>
      </c>
    </row>
    <row r="68" spans="1:6">
      <c r="A68" s="7" t="s">
        <v>847</v>
      </c>
      <c r="B68" s="7" t="s">
        <v>848</v>
      </c>
      <c r="C68" s="7" t="s">
        <v>855</v>
      </c>
      <c r="D68" s="7" t="s">
        <v>850</v>
      </c>
      <c r="E68" s="40">
        <v>44981</v>
      </c>
      <c r="F68" s="7" t="s">
        <v>822</v>
      </c>
    </row>
    <row r="69" spans="1:6">
      <c r="A69" s="7" t="s">
        <v>847</v>
      </c>
      <c r="B69" s="7" t="s">
        <v>848</v>
      </c>
      <c r="C69" s="7" t="s">
        <v>856</v>
      </c>
      <c r="D69" s="7" t="s">
        <v>850</v>
      </c>
      <c r="E69" s="40">
        <v>44981</v>
      </c>
      <c r="F69" s="7" t="s">
        <v>822</v>
      </c>
    </row>
    <row r="70" spans="1:6">
      <c r="A70" s="7" t="s">
        <v>857</v>
      </c>
      <c r="B70" s="7" t="s">
        <v>846</v>
      </c>
      <c r="C70" s="7" t="str">
        <f>_xlfn.CONCAT(Funcionários!B26)</f>
        <v>JULIO CESAR DA SILVA</v>
      </c>
      <c r="D70" s="7" t="str">
        <f>_xlfn.CONCAT(Funcionários!C26)</f>
        <v>COMERCIAL</v>
      </c>
      <c r="E70" s="40">
        <v>45093</v>
      </c>
      <c r="F70" s="7" t="s">
        <v>822</v>
      </c>
    </row>
    <row r="71" spans="1:6">
      <c r="A71" s="7" t="s">
        <v>857</v>
      </c>
      <c r="B71" s="7" t="s">
        <v>696</v>
      </c>
      <c r="C71" s="7" t="str">
        <f>_xlfn.CONCAT(Funcionários!B5)</f>
        <v>JOÃO BUTZKE</v>
      </c>
      <c r="D71" s="7" t="str">
        <f>_xlfn.CONCAT(Funcionários!C5)</f>
        <v>INTELIGENCIA DE REDES</v>
      </c>
      <c r="E71" s="40">
        <v>45020</v>
      </c>
      <c r="F71" s="7" t="s">
        <v>822</v>
      </c>
    </row>
    <row r="72" spans="1:6">
      <c r="A72" s="7" t="s">
        <v>857</v>
      </c>
      <c r="B72" s="7" t="s">
        <v>696</v>
      </c>
      <c r="C72" s="7"/>
      <c r="D72" s="7"/>
      <c r="E72" s="40">
        <v>45020</v>
      </c>
      <c r="F72" s="7" t="s">
        <v>822</v>
      </c>
    </row>
    <row r="73" spans="1:6">
      <c r="A73" s="7" t="s">
        <v>857</v>
      </c>
      <c r="B73" s="7" t="s">
        <v>696</v>
      </c>
      <c r="C73" s="7" t="str">
        <f>_xlfn.CONCAT(Funcionários!B6)</f>
        <v>FELIPE FOLSTER</v>
      </c>
      <c r="D73" s="7" t="str">
        <f>_xlfn.CONCAT(Funcionários!C5)</f>
        <v>INTELIGENCIA DE REDES</v>
      </c>
      <c r="E73" s="40">
        <v>45020</v>
      </c>
      <c r="F73" s="7" t="s">
        <v>822</v>
      </c>
    </row>
    <row r="74" spans="1:6">
      <c r="A74" s="7" t="s">
        <v>857</v>
      </c>
      <c r="B74" s="7" t="s">
        <v>696</v>
      </c>
      <c r="C74" s="7" t="str">
        <f>_xlfn.CONCAT(Funcionários!B22)</f>
        <v>AMANDA ISSLER NERY</v>
      </c>
      <c r="D74" s="7" t="str">
        <f>_xlfn.CONCAT(Funcionários!C22)</f>
        <v>COMERCIAL</v>
      </c>
      <c r="E74" s="40">
        <v>45020</v>
      </c>
      <c r="F74" s="7" t="s">
        <v>822</v>
      </c>
    </row>
    <row r="75" spans="1:6">
      <c r="A75" s="7" t="s">
        <v>857</v>
      </c>
      <c r="B75" s="7" t="s">
        <v>696</v>
      </c>
      <c r="C75" s="7" t="str">
        <f>_xlfn.CONCAT(Funcionários!B23)</f>
        <v>CLEYLSON DA SILVA PIMENTEL</v>
      </c>
      <c r="D75" s="7" t="str">
        <f>_xlfn.CONCAT(Funcionários!C23)</f>
        <v>COMERCIAL</v>
      </c>
      <c r="E75" s="40">
        <v>45020</v>
      </c>
      <c r="F75" s="7" t="s">
        <v>822</v>
      </c>
    </row>
    <row r="76" spans="1:6">
      <c r="A76" s="7" t="s">
        <v>857</v>
      </c>
      <c r="B76" s="7" t="s">
        <v>696</v>
      </c>
      <c r="C76" s="7" t="str">
        <f>_xlfn.CONCAT(Funcionários!B28)</f>
        <v>VANDERLEI MANENTTI SCOTT</v>
      </c>
      <c r="D76" s="7" t="str">
        <f>_xlfn.CONCAT(Funcionários!C28)</f>
        <v>CTO</v>
      </c>
      <c r="E76" s="40">
        <v>45020</v>
      </c>
      <c r="F76" s="7" t="s">
        <v>822</v>
      </c>
    </row>
    <row r="77" spans="1:6">
      <c r="A77" s="7" t="s">
        <v>857</v>
      </c>
      <c r="B77" s="7" t="s">
        <v>696</v>
      </c>
      <c r="C77" s="7" t="str">
        <f>_xlfn.CONCAT(Funcionários!B29)</f>
        <v>EVERSON KLEBER MAI</v>
      </c>
      <c r="D77" s="7" t="str">
        <f>_xlfn.CONCAT(Funcionários!C29)</f>
        <v>CEO</v>
      </c>
      <c r="E77" s="40">
        <v>45020</v>
      </c>
      <c r="F77" s="7" t="s">
        <v>822</v>
      </c>
    </row>
    <row r="78" spans="1:6">
      <c r="A78" s="7" t="s">
        <v>857</v>
      </c>
      <c r="B78" s="7" t="s">
        <v>696</v>
      </c>
      <c r="C78" s="7" t="str">
        <f>_xlfn.CONCAT(Funcionários!B49)</f>
        <v>EDUARDA VIEIRA</v>
      </c>
      <c r="D78" s="7" t="str">
        <f>_xlfn.CONCAT(Funcionários!C49)</f>
        <v>RELACIONAMENTO COM O CLIENTE</v>
      </c>
      <c r="E78" s="40">
        <v>45020</v>
      </c>
      <c r="F78" s="7" t="s">
        <v>822</v>
      </c>
    </row>
    <row r="79" spans="1:6">
      <c r="A79" s="7" t="s">
        <v>857</v>
      </c>
      <c r="B79" s="7" t="s">
        <v>696</v>
      </c>
      <c r="C79" s="7" t="str">
        <f>_xlfn.CONCAT(Funcionários!B40)</f>
        <v>ANA LUIZA MATTIA DE LIMA</v>
      </c>
      <c r="D79" s="7" t="str">
        <f>_xlfn.CONCAT(Funcionários!C40)</f>
        <v>INTELIGENCIA DE DADOS</v>
      </c>
      <c r="E79" s="40">
        <v>45182</v>
      </c>
      <c r="F79" s="7" t="s">
        <v>822</v>
      </c>
    </row>
    <row r="80" spans="1:6">
      <c r="A80" s="7" t="s">
        <v>857</v>
      </c>
      <c r="B80" s="7" t="s">
        <v>696</v>
      </c>
      <c r="C80" s="7" t="str">
        <f>_xlfn.CONCAT(Funcionários!B26)</f>
        <v>JULIO CESAR DA SILVA</v>
      </c>
      <c r="D80" s="7" t="str">
        <f>_xlfn.CONCAT(Funcionários!C26)</f>
        <v>COMERCIAL</v>
      </c>
      <c r="E80" s="40">
        <v>45020</v>
      </c>
      <c r="F80" s="7" t="s">
        <v>822</v>
      </c>
    </row>
    <row r="81" spans="1:6">
      <c r="A81" s="7" t="s">
        <v>857</v>
      </c>
      <c r="B81" s="7" t="s">
        <v>696</v>
      </c>
      <c r="C81" s="7" t="str">
        <f>_xlfn.CONCAT(Funcionários!B77)</f>
        <v>BRUNA FERNANDES MAI</v>
      </c>
      <c r="D81" s="7" t="str">
        <f>_xlfn.CONCAT(Funcionários!C77)</f>
        <v>CFO</v>
      </c>
      <c r="E81" s="40">
        <v>45020</v>
      </c>
      <c r="F81" s="7" t="s">
        <v>822</v>
      </c>
    </row>
    <row r="82" spans="1:6">
      <c r="A82" s="7" t="s">
        <v>857</v>
      </c>
      <c r="B82" s="7" t="s">
        <v>696</v>
      </c>
      <c r="C82" s="7"/>
      <c r="D82" s="7"/>
      <c r="E82" s="40">
        <v>45020</v>
      </c>
      <c r="F82" s="7" t="s">
        <v>822</v>
      </c>
    </row>
    <row r="83" spans="1:6">
      <c r="A83" s="7" t="s">
        <v>857</v>
      </c>
      <c r="B83" s="7" t="s">
        <v>696</v>
      </c>
      <c r="C83" s="7" t="str">
        <f>_xlfn.CONCAT(Funcionários!B9)</f>
        <v>LUIZA CUNHA SENA</v>
      </c>
      <c r="D83" s="7" t="str">
        <f>_xlfn.CONCAT(Funcionários!C9)</f>
        <v>AGILIDADE</v>
      </c>
      <c r="E83" s="40">
        <v>45020</v>
      </c>
      <c r="F83" s="7" t="s">
        <v>822</v>
      </c>
    </row>
    <row r="84" spans="1:6">
      <c r="A84" s="7" t="s">
        <v>857</v>
      </c>
      <c r="B84" s="7" t="s">
        <v>696</v>
      </c>
      <c r="C84" s="7" t="str">
        <f>_xlfn.CONCAT(Funcionários!B78)</f>
        <v>VINICIUS PLETICOS</v>
      </c>
      <c r="D84" s="7" t="str">
        <f>_xlfn.CONCAT(Funcionários!C78)</f>
        <v>RELACIONAMENTO COM O CLIENTE</v>
      </c>
      <c r="E84" s="40">
        <v>45020</v>
      </c>
      <c r="F84" s="7" t="s">
        <v>822</v>
      </c>
    </row>
    <row r="85" spans="1:6">
      <c r="A85" s="7" t="s">
        <v>857</v>
      </c>
      <c r="B85" s="7" t="s">
        <v>696</v>
      </c>
      <c r="C85" s="7" t="e">
        <f>_xlfn.CONCAT(Funcionários!#REF!)</f>
        <v>#REF!</v>
      </c>
      <c r="D85" s="7" t="e">
        <f>_xlfn.CONCAT(Funcionários!#REF!)</f>
        <v>#REF!</v>
      </c>
      <c r="E85" s="40">
        <v>45027</v>
      </c>
      <c r="F85" s="7" t="s">
        <v>822</v>
      </c>
    </row>
    <row r="86" spans="1:6">
      <c r="A86" s="7" t="s">
        <v>857</v>
      </c>
      <c r="B86" s="7" t="s">
        <v>696</v>
      </c>
      <c r="C86" s="7" t="str">
        <f>_xlfn.CONCAT(Funcionários!B66)</f>
        <v>MORGANE CRISTINA RIBEIRO</v>
      </c>
      <c r="D86" s="7" t="str">
        <f>_xlfn.CONCAT(Funcionários!C66)</f>
        <v>RELACIONAMENTO COM O CLIENTE</v>
      </c>
      <c r="E86" s="40">
        <v>45027</v>
      </c>
      <c r="F86" s="7" t="s">
        <v>822</v>
      </c>
    </row>
    <row r="87" spans="1:6">
      <c r="A87" s="7" t="s">
        <v>857</v>
      </c>
      <c r="B87" s="7" t="s">
        <v>696</v>
      </c>
      <c r="C87" s="7"/>
      <c r="D87" s="7"/>
      <c r="E87" s="40">
        <v>45027</v>
      </c>
      <c r="F87" s="7" t="s">
        <v>822</v>
      </c>
    </row>
    <row r="88" spans="1:6">
      <c r="A88" s="7" t="s">
        <v>857</v>
      </c>
      <c r="B88" s="7" t="s">
        <v>696</v>
      </c>
      <c r="C88" s="7" t="str">
        <f>_xlfn.CONCAT(Funcionários!B13)</f>
        <v>JAKSON WEINGARTNER</v>
      </c>
      <c r="D88" s="7" t="str">
        <f>_xlfn.CONCAT(Funcionários!C13)</f>
        <v>INTELIGENCIA DE REDES</v>
      </c>
      <c r="E88" s="40">
        <v>45020</v>
      </c>
      <c r="F88" s="7" t="s">
        <v>822</v>
      </c>
    </row>
    <row r="89" spans="1:6">
      <c r="A89" s="7" t="s">
        <v>857</v>
      </c>
      <c r="B89" s="7" t="s">
        <v>696</v>
      </c>
      <c r="C89" s="7" t="str">
        <f>_xlfn.CONCAT(Funcionários!B84)</f>
        <v>RAKELI VIEIRA</v>
      </c>
      <c r="D89" s="7" t="str">
        <f>_xlfn.CONCAT(Funcionários!C84)</f>
        <v>RELACIONAMENTO COM O CLIENTE</v>
      </c>
      <c r="E89" s="40">
        <v>45020</v>
      </c>
      <c r="F89" s="7" t="s">
        <v>822</v>
      </c>
    </row>
    <row r="90" spans="1:6">
      <c r="A90" s="7" t="s">
        <v>857</v>
      </c>
      <c r="B90" s="7" t="s">
        <v>696</v>
      </c>
      <c r="C90" s="7" t="e">
        <f>_xlfn.CONCAT(Funcionários!#REF!)</f>
        <v>#REF!</v>
      </c>
      <c r="D90" s="7" t="e">
        <f>_xlfn.CONCAT(Funcionários!#REF!)</f>
        <v>#REF!</v>
      </c>
      <c r="E90" s="40">
        <v>45020</v>
      </c>
      <c r="F90" s="7" t="s">
        <v>822</v>
      </c>
    </row>
    <row r="91" spans="1:6">
      <c r="A91" s="7" t="s">
        <v>857</v>
      </c>
      <c r="B91" s="7" t="s">
        <v>696</v>
      </c>
      <c r="C91" s="7" t="str">
        <f>_xlfn.CONCAT(Funcionários!B14)</f>
        <v>SAMUEL RIBEIRO</v>
      </c>
      <c r="D91" s="7" t="str">
        <f>_xlfn.CONCAT(Funcionários!C14)</f>
        <v>INTELIGENCIA DE DADOS</v>
      </c>
      <c r="E91" s="40">
        <v>45020</v>
      </c>
      <c r="F91" s="7" t="s">
        <v>822</v>
      </c>
    </row>
    <row r="92" spans="1:6">
      <c r="A92" s="7" t="s">
        <v>857</v>
      </c>
      <c r="B92" s="7" t="s">
        <v>696</v>
      </c>
      <c r="C92" s="7" t="e">
        <f>_xlfn.CONCAT(Funcionários!#REF!)</f>
        <v>#REF!</v>
      </c>
      <c r="D92" s="7" t="str">
        <f>_xlfn.CONCAT(Funcionários!C5)</f>
        <v>INTELIGENCIA DE REDES</v>
      </c>
      <c r="E92" s="40">
        <v>45020</v>
      </c>
      <c r="F92" s="7" t="s">
        <v>822</v>
      </c>
    </row>
    <row r="93" spans="1:6">
      <c r="A93" s="7" t="s">
        <v>843</v>
      </c>
      <c r="B93" s="7" t="s">
        <v>829</v>
      </c>
      <c r="C93" s="7" t="str">
        <f>_xlfn.CONCAT(Funcionários!B13)</f>
        <v>JAKSON WEINGARTNER</v>
      </c>
      <c r="D93" s="7" t="str">
        <f>_xlfn.CONCAT(Funcionários!C13)</f>
        <v>INTELIGENCIA DE REDES</v>
      </c>
      <c r="E93" s="40">
        <v>45058</v>
      </c>
      <c r="F93" s="7" t="s">
        <v>822</v>
      </c>
    </row>
    <row r="94" spans="1:6">
      <c r="A94" s="7" t="s">
        <v>843</v>
      </c>
      <c r="B94" s="7" t="s">
        <v>829</v>
      </c>
      <c r="C94" s="7" t="str">
        <f>_xlfn.CONCAT(Funcionários!B10)</f>
        <v>VINICIUS COELHO</v>
      </c>
      <c r="D94" s="7" t="str">
        <f>_xlfn.CONCAT(Setor!B10)</f>
        <v>AGILIDADE</v>
      </c>
      <c r="E94" s="40">
        <v>45061</v>
      </c>
      <c r="F94" s="7" t="s">
        <v>822</v>
      </c>
    </row>
    <row r="95" spans="1:6">
      <c r="A95" s="7" t="s">
        <v>857</v>
      </c>
      <c r="B95" s="7" t="s">
        <v>696</v>
      </c>
      <c r="C95" s="7"/>
      <c r="D95" s="7"/>
      <c r="E95" s="40">
        <v>45020</v>
      </c>
      <c r="F95" s="7" t="s">
        <v>822</v>
      </c>
    </row>
    <row r="96" spans="1:6">
      <c r="A96" s="7" t="s">
        <v>858</v>
      </c>
      <c r="B96" s="7" t="s">
        <v>859</v>
      </c>
      <c r="C96" s="7" t="str">
        <f>_xlfn.CONCAT(Funcionários!B50)</f>
        <v>FELLIPE GARCIA</v>
      </c>
      <c r="D96" s="7" t="str">
        <f>_xlfn.CONCAT(Funcionários!C50)</f>
        <v>RELACIONAMENTO COM O CLIENTE</v>
      </c>
      <c r="E96" s="40">
        <v>45336</v>
      </c>
      <c r="F96" s="7" t="s">
        <v>822</v>
      </c>
    </row>
    <row r="97" spans="1:6">
      <c r="A97" s="7" t="s">
        <v>847</v>
      </c>
      <c r="B97" s="7" t="s">
        <v>848</v>
      </c>
      <c r="C97" s="7" t="s">
        <v>860</v>
      </c>
      <c r="D97" s="7" t="s">
        <v>850</v>
      </c>
      <c r="E97" s="40">
        <v>44981</v>
      </c>
      <c r="F97" s="7" t="s">
        <v>822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EA131-4FC2-4873-8844-9CF5443097A0}">
  <dimension ref="A1:DC78"/>
  <sheetViews>
    <sheetView topLeftCell="A12" workbookViewId="0">
      <selection activeCell="E9" sqref="E9"/>
    </sheetView>
  </sheetViews>
  <sheetFormatPr defaultRowHeight="15"/>
  <cols>
    <col min="1" max="1" width="30.85546875" bestFit="1" customWidth="1"/>
    <col min="2" max="2" width="18.140625" customWidth="1"/>
    <col min="3" max="4" width="20.28515625" customWidth="1"/>
    <col min="5" max="5" width="47.42578125" bestFit="1" customWidth="1"/>
  </cols>
  <sheetData>
    <row r="1" spans="1:5" ht="36.75" customHeight="1">
      <c r="A1" s="1"/>
      <c r="B1" s="1"/>
      <c r="C1" s="1"/>
      <c r="D1" s="1"/>
      <c r="E1" s="1"/>
    </row>
    <row r="2" spans="1:5" ht="34.5" customHeight="1">
      <c r="A2" s="105" t="s">
        <v>861</v>
      </c>
      <c r="B2" s="105"/>
      <c r="C2" s="105"/>
      <c r="D2" s="105"/>
      <c r="E2" s="105"/>
    </row>
    <row r="3" spans="1:5" ht="18">
      <c r="A3" s="75"/>
      <c r="B3" s="75"/>
      <c r="C3" s="75"/>
      <c r="D3" s="75"/>
      <c r="E3" s="75"/>
    </row>
    <row r="4" spans="1:5" ht="19.5">
      <c r="A4" s="39" t="s">
        <v>862</v>
      </c>
      <c r="B4" s="39" t="s">
        <v>863</v>
      </c>
      <c r="C4" s="39" t="s">
        <v>711</v>
      </c>
      <c r="D4" s="39" t="s">
        <v>204</v>
      </c>
      <c r="E4" s="39" t="s">
        <v>209</v>
      </c>
    </row>
    <row r="5" spans="1:5">
      <c r="A5" s="7" t="s">
        <v>864</v>
      </c>
      <c r="B5" s="40">
        <v>45790</v>
      </c>
      <c r="C5" s="7" t="s">
        <v>843</v>
      </c>
      <c r="D5" s="7" t="s">
        <v>865</v>
      </c>
      <c r="E5" s="7" t="s">
        <v>866</v>
      </c>
    </row>
    <row r="6" spans="1:5">
      <c r="A6" s="7"/>
      <c r="B6" s="7"/>
      <c r="C6" s="7"/>
      <c r="D6" s="7"/>
      <c r="E6" s="7"/>
    </row>
    <row r="7" spans="1:5">
      <c r="A7" s="7"/>
      <c r="B7" s="7"/>
      <c r="C7" s="7"/>
      <c r="D7" s="7"/>
      <c r="E7" s="7"/>
    </row>
    <row r="8" spans="1:5">
      <c r="A8" s="7"/>
      <c r="B8" s="7"/>
      <c r="C8" s="7"/>
      <c r="D8" s="7"/>
      <c r="E8" s="7"/>
    </row>
    <row r="9" spans="1:5">
      <c r="A9" s="7"/>
      <c r="B9" s="7"/>
      <c r="C9" s="7"/>
      <c r="D9" s="7"/>
      <c r="E9" s="7"/>
    </row>
    <row r="10" spans="1:5">
      <c r="A10" s="7"/>
      <c r="B10" s="7"/>
      <c r="C10" s="7"/>
      <c r="D10" s="7"/>
      <c r="E10" s="7"/>
    </row>
    <row r="11" spans="1:5">
      <c r="A11" s="7"/>
      <c r="B11" s="7"/>
      <c r="C11" s="7"/>
      <c r="D11" s="7"/>
      <c r="E11" s="7"/>
    </row>
    <row r="12" spans="1:5">
      <c r="A12" s="7"/>
      <c r="B12" s="7"/>
      <c r="C12" s="7"/>
      <c r="D12" s="7"/>
      <c r="E12" s="7"/>
    </row>
    <row r="13" spans="1:5">
      <c r="A13" s="7"/>
      <c r="B13" s="7"/>
      <c r="C13" s="7"/>
      <c r="D13" s="7"/>
      <c r="E13" s="7"/>
    </row>
    <row r="14" spans="1:5">
      <c r="A14" s="7"/>
      <c r="B14" s="7"/>
      <c r="C14" s="7"/>
      <c r="D14" s="7"/>
      <c r="E14" s="7"/>
    </row>
    <row r="15" spans="1:5">
      <c r="A15" s="7"/>
      <c r="B15" s="7"/>
      <c r="C15" s="7"/>
      <c r="D15" s="7"/>
      <c r="E15" s="7"/>
    </row>
    <row r="16" spans="1:5">
      <c r="A16" s="7"/>
      <c r="B16" s="7"/>
      <c r="C16" s="7"/>
      <c r="D16" s="7"/>
      <c r="E16" s="7"/>
    </row>
    <row r="17" spans="1:5">
      <c r="A17" s="7"/>
      <c r="B17" s="7"/>
      <c r="C17" s="7"/>
      <c r="D17" s="7"/>
      <c r="E17" s="7"/>
    </row>
    <row r="18" spans="1:5">
      <c r="A18" s="7"/>
      <c r="B18" s="7"/>
      <c r="C18" s="7"/>
      <c r="D18" s="7"/>
      <c r="E18" s="7"/>
    </row>
    <row r="19" spans="1:5">
      <c r="A19" s="7"/>
      <c r="B19" s="7"/>
      <c r="C19" s="7"/>
      <c r="D19" s="7"/>
      <c r="E19" s="7"/>
    </row>
    <row r="20" spans="1:5">
      <c r="A20" s="7"/>
      <c r="B20" s="7"/>
      <c r="C20" s="7"/>
      <c r="D20" s="7"/>
      <c r="E20" s="7"/>
    </row>
    <row r="21" spans="1:5">
      <c r="A21" s="7"/>
      <c r="B21" s="7"/>
      <c r="C21" s="7"/>
      <c r="D21" s="7"/>
      <c r="E21" s="7"/>
    </row>
    <row r="22" spans="1:5">
      <c r="A22" s="7"/>
      <c r="B22" s="7"/>
      <c r="C22" s="7"/>
      <c r="D22" s="7"/>
      <c r="E22" s="7"/>
    </row>
    <row r="23" spans="1:5">
      <c r="A23" s="7"/>
      <c r="B23" s="7"/>
      <c r="C23" s="7"/>
      <c r="D23" s="7"/>
      <c r="E23" s="7"/>
    </row>
    <row r="24" spans="1:5">
      <c r="A24" s="7"/>
      <c r="B24" s="7"/>
      <c r="C24" s="7"/>
      <c r="D24" s="7"/>
      <c r="E24" s="7"/>
    </row>
    <row r="25" spans="1:5">
      <c r="A25" s="7"/>
      <c r="B25" s="7"/>
      <c r="C25" s="7"/>
      <c r="D25" s="7"/>
      <c r="E25" s="7"/>
    </row>
    <row r="26" spans="1:5">
      <c r="A26" s="7"/>
      <c r="B26" s="7"/>
      <c r="C26" s="7"/>
      <c r="D26" s="7"/>
      <c r="E26" s="7"/>
    </row>
    <row r="27" spans="1:5">
      <c r="A27" s="7"/>
      <c r="B27" s="7"/>
      <c r="C27" s="7"/>
      <c r="D27" s="7"/>
      <c r="E27" s="7"/>
    </row>
    <row r="28" spans="1:5">
      <c r="A28" s="7"/>
      <c r="B28" s="7"/>
      <c r="C28" s="7"/>
      <c r="D28" s="7"/>
      <c r="E28" s="7"/>
    </row>
    <row r="29" spans="1:5">
      <c r="A29" s="7"/>
      <c r="B29" s="7"/>
      <c r="C29" s="7"/>
      <c r="D29" s="7"/>
      <c r="E29" s="7"/>
    </row>
    <row r="30" spans="1:5">
      <c r="A30" s="7"/>
      <c r="B30" s="7"/>
      <c r="C30" s="7"/>
      <c r="D30" s="7"/>
      <c r="E30" s="7"/>
    </row>
    <row r="31" spans="1:5">
      <c r="A31" s="7"/>
      <c r="B31" s="7"/>
      <c r="C31" s="7"/>
      <c r="D31" s="7"/>
      <c r="E31" s="7"/>
    </row>
    <row r="32" spans="1:5">
      <c r="A32" s="7"/>
      <c r="B32" s="7"/>
      <c r="C32" s="7"/>
      <c r="D32" s="7"/>
      <c r="E32" s="7"/>
    </row>
    <row r="33" spans="1:5">
      <c r="A33" s="7"/>
      <c r="B33" s="7"/>
      <c r="C33" s="7"/>
      <c r="D33" s="7"/>
      <c r="E33" s="7"/>
    </row>
    <row r="34" spans="1:5">
      <c r="A34" s="7"/>
      <c r="B34" s="7"/>
      <c r="C34" s="7"/>
      <c r="D34" s="7"/>
      <c r="E34" s="7"/>
    </row>
    <row r="35" spans="1:5">
      <c r="A35" s="7"/>
      <c r="B35" s="7"/>
      <c r="C35" s="7"/>
      <c r="D35" s="7"/>
      <c r="E35" s="7"/>
    </row>
    <row r="36" spans="1:5">
      <c r="A36" s="7"/>
      <c r="B36" s="7"/>
      <c r="C36" s="7"/>
      <c r="D36" s="7"/>
      <c r="E36" s="7"/>
    </row>
    <row r="37" spans="1:5">
      <c r="A37" s="7"/>
      <c r="B37" s="7"/>
      <c r="C37" s="7"/>
      <c r="D37" s="7"/>
      <c r="E37" s="7"/>
    </row>
    <row r="38" spans="1:5">
      <c r="A38" s="7"/>
      <c r="B38" s="7"/>
      <c r="C38" s="7"/>
      <c r="D38" s="7"/>
      <c r="E38" s="7"/>
    </row>
    <row r="70" spans="6:107"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</row>
    <row r="71" spans="6:107"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</row>
    <row r="72" spans="6:107"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</row>
    <row r="73" spans="6:107"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</row>
    <row r="74" spans="6:107"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</row>
    <row r="75" spans="6:107"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</row>
    <row r="76" spans="6:107"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</row>
    <row r="77" spans="6:107"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</row>
    <row r="78" spans="6:107"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</row>
  </sheetData>
  <mergeCells count="1">
    <mergeCell ref="A2:E2"/>
  </mergeCell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04FF0-7520-4C6B-97F2-141D55CC2EC5}">
  <dimension ref="A1:DC78"/>
  <sheetViews>
    <sheetView workbookViewId="0">
      <selection activeCell="B10" sqref="B10"/>
    </sheetView>
  </sheetViews>
  <sheetFormatPr defaultRowHeight="15"/>
  <cols>
    <col min="1" max="1" width="30.85546875" bestFit="1" customWidth="1"/>
    <col min="2" max="2" width="18.140625" customWidth="1"/>
    <col min="3" max="4" width="20.28515625" customWidth="1"/>
    <col min="5" max="5" width="47.42578125" bestFit="1" customWidth="1"/>
  </cols>
  <sheetData>
    <row r="1" spans="1:5" ht="36.75" customHeight="1">
      <c r="A1" s="1"/>
      <c r="B1" s="1"/>
      <c r="C1" s="1"/>
      <c r="D1" s="1"/>
      <c r="E1" s="1"/>
    </row>
    <row r="2" spans="1:5" ht="34.5" customHeight="1">
      <c r="A2" s="105" t="s">
        <v>867</v>
      </c>
      <c r="B2" s="105"/>
      <c r="C2" s="105"/>
      <c r="D2" s="105"/>
      <c r="E2" s="105"/>
    </row>
    <row r="3" spans="1:5" ht="18">
      <c r="A3" s="75"/>
      <c r="B3" s="75"/>
      <c r="C3" s="75"/>
      <c r="D3" s="75"/>
      <c r="E3" s="75"/>
    </row>
    <row r="4" spans="1:5" ht="19.5">
      <c r="A4" s="39" t="s">
        <v>203</v>
      </c>
      <c r="B4" s="39" t="s">
        <v>868</v>
      </c>
      <c r="C4" s="39" t="s">
        <v>204</v>
      </c>
      <c r="D4" s="39" t="s">
        <v>205</v>
      </c>
      <c r="E4" s="39" t="s">
        <v>209</v>
      </c>
    </row>
    <row r="5" spans="1:5">
      <c r="A5" s="7" t="s">
        <v>869</v>
      </c>
      <c r="B5" s="7">
        <v>1</v>
      </c>
      <c r="C5" s="7" t="s">
        <v>870</v>
      </c>
      <c r="D5" s="7"/>
      <c r="E5" s="7" t="s">
        <v>871</v>
      </c>
    </row>
    <row r="6" spans="1:5">
      <c r="A6" s="7" t="s">
        <v>869</v>
      </c>
      <c r="B6" s="7">
        <v>0</v>
      </c>
      <c r="C6" s="7" t="s">
        <v>872</v>
      </c>
      <c r="D6" s="7" t="s">
        <v>873</v>
      </c>
      <c r="E6" s="7"/>
    </row>
    <row r="7" spans="1:5">
      <c r="A7" s="77" t="s">
        <v>874</v>
      </c>
      <c r="B7" s="77">
        <f>SUM(B5,B6)</f>
        <v>1</v>
      </c>
      <c r="C7" s="77"/>
      <c r="D7" s="77"/>
      <c r="E7" s="77"/>
    </row>
    <row r="8" spans="1:5">
      <c r="A8" s="74"/>
      <c r="B8" s="74"/>
      <c r="C8" s="74"/>
      <c r="D8" s="74"/>
      <c r="E8" s="74"/>
    </row>
    <row r="9" spans="1:5">
      <c r="A9" s="7" t="s">
        <v>234</v>
      </c>
      <c r="B9" s="7">
        <v>0</v>
      </c>
      <c r="C9" s="7"/>
      <c r="D9" s="7"/>
      <c r="E9" s="7"/>
    </row>
    <row r="10" spans="1:5">
      <c r="A10" s="7" t="s">
        <v>234</v>
      </c>
      <c r="B10" s="7">
        <v>0</v>
      </c>
      <c r="C10" s="7"/>
      <c r="D10" s="40"/>
      <c r="E10" s="7"/>
    </row>
    <row r="11" spans="1:5">
      <c r="A11" s="77" t="s">
        <v>875</v>
      </c>
      <c r="B11" s="77">
        <f>SUM(B9,B10)</f>
        <v>0</v>
      </c>
      <c r="C11" s="77"/>
      <c r="D11" s="78"/>
      <c r="E11" s="77"/>
    </row>
    <row r="12" spans="1:5">
      <c r="A12" s="74"/>
      <c r="B12" s="74"/>
      <c r="C12" s="74"/>
      <c r="D12" s="76"/>
      <c r="E12" s="74"/>
    </row>
    <row r="13" spans="1:5">
      <c r="A13" s="7" t="s">
        <v>876</v>
      </c>
      <c r="B13" s="7">
        <v>13</v>
      </c>
      <c r="C13" s="7" t="s">
        <v>877</v>
      </c>
      <c r="D13" s="7"/>
      <c r="E13" s="7" t="s">
        <v>871</v>
      </c>
    </row>
    <row r="14" spans="1:5">
      <c r="A14" s="74"/>
      <c r="B14" s="74"/>
      <c r="C14" s="74"/>
      <c r="D14" s="76"/>
      <c r="E14" s="74"/>
    </row>
    <row r="15" spans="1:5">
      <c r="A15" s="7" t="s">
        <v>878</v>
      </c>
      <c r="B15" s="7">
        <v>1</v>
      </c>
      <c r="C15" s="7" t="s">
        <v>865</v>
      </c>
      <c r="D15" s="7"/>
      <c r="E15" s="7"/>
    </row>
    <row r="16" spans="1:5">
      <c r="A16" s="7" t="s">
        <v>879</v>
      </c>
      <c r="B16" s="7">
        <v>2</v>
      </c>
      <c r="C16" s="7" t="s">
        <v>877</v>
      </c>
      <c r="D16" s="40"/>
      <c r="E16" s="7"/>
    </row>
    <row r="17" spans="1:5">
      <c r="A17" s="77" t="s">
        <v>880</v>
      </c>
      <c r="B17" s="77">
        <f>SUM(B15,B16)</f>
        <v>3</v>
      </c>
      <c r="C17" s="77"/>
      <c r="D17" s="78"/>
      <c r="E17" s="77"/>
    </row>
    <row r="18" spans="1:5">
      <c r="A18" s="74"/>
      <c r="B18" s="74"/>
      <c r="C18" s="74"/>
      <c r="D18" s="76"/>
      <c r="E18" s="74"/>
    </row>
    <row r="19" spans="1:5">
      <c r="A19" s="7" t="s">
        <v>881</v>
      </c>
      <c r="B19" s="7">
        <v>10</v>
      </c>
      <c r="C19" s="7" t="s">
        <v>840</v>
      </c>
      <c r="D19" s="7"/>
      <c r="E19" s="7" t="s">
        <v>871</v>
      </c>
    </row>
    <row r="20" spans="1:5">
      <c r="A20" s="74"/>
      <c r="B20" s="74"/>
      <c r="C20" s="74"/>
      <c r="D20" s="76"/>
      <c r="E20" s="74"/>
    </row>
    <row r="21" spans="1:5">
      <c r="A21" s="7" t="s">
        <v>882</v>
      </c>
      <c r="B21" s="7">
        <v>1</v>
      </c>
      <c r="C21" s="7"/>
      <c r="D21" s="7"/>
      <c r="E21" s="7"/>
    </row>
    <row r="22" spans="1:5">
      <c r="A22" s="7" t="s">
        <v>883</v>
      </c>
      <c r="B22" s="7">
        <v>2</v>
      </c>
      <c r="C22" s="7"/>
      <c r="D22" s="40"/>
      <c r="E22" s="7"/>
    </row>
    <row r="23" spans="1:5">
      <c r="A23" s="77" t="s">
        <v>884</v>
      </c>
      <c r="B23" s="77">
        <f>SUM(B21,B22)</f>
        <v>3</v>
      </c>
      <c r="C23" s="77"/>
      <c r="D23" s="78"/>
      <c r="E23" s="77"/>
    </row>
    <row r="24" spans="1:5">
      <c r="A24" s="74"/>
      <c r="B24" s="74"/>
      <c r="C24" s="74"/>
      <c r="D24" s="76"/>
      <c r="E24" s="74"/>
    </row>
    <row r="25" spans="1:5">
      <c r="A25" s="7" t="s">
        <v>373</v>
      </c>
      <c r="B25" s="7"/>
      <c r="C25" s="7"/>
      <c r="D25" s="7"/>
      <c r="E25" s="7"/>
    </row>
    <row r="26" spans="1:5">
      <c r="A26" s="7" t="s">
        <v>373</v>
      </c>
      <c r="B26" s="7"/>
      <c r="C26" s="7"/>
      <c r="D26" s="40"/>
      <c r="E26" s="7"/>
    </row>
    <row r="27" spans="1:5">
      <c r="A27" s="77" t="s">
        <v>885</v>
      </c>
      <c r="B27" s="77">
        <f>SUM(B25,B26)</f>
        <v>0</v>
      </c>
      <c r="C27" s="77"/>
      <c r="D27" s="78"/>
      <c r="E27" s="77"/>
    </row>
    <row r="28" spans="1:5">
      <c r="A28" s="74"/>
      <c r="B28" s="74"/>
      <c r="C28" s="74"/>
      <c r="D28" s="76"/>
      <c r="E28" s="74"/>
    </row>
    <row r="29" spans="1:5">
      <c r="A29" s="7" t="s">
        <v>886</v>
      </c>
      <c r="B29" s="7">
        <v>1</v>
      </c>
      <c r="C29" s="7" t="s">
        <v>877</v>
      </c>
      <c r="D29" s="7"/>
      <c r="E29" s="7" t="s">
        <v>871</v>
      </c>
    </row>
    <row r="30" spans="1:5">
      <c r="A30" s="74"/>
      <c r="B30" s="74"/>
      <c r="C30" s="74"/>
      <c r="D30" s="76"/>
      <c r="E30" s="74"/>
    </row>
    <row r="31" spans="1:5">
      <c r="A31" s="7" t="s">
        <v>887</v>
      </c>
      <c r="B31" s="7">
        <v>1</v>
      </c>
      <c r="C31" s="40"/>
      <c r="D31" s="40"/>
      <c r="E31" s="7"/>
    </row>
    <row r="32" spans="1:5">
      <c r="A32" s="7"/>
      <c r="B32" s="7"/>
      <c r="C32" s="40"/>
      <c r="D32" s="40"/>
      <c r="E32" s="7"/>
    </row>
    <row r="33" spans="1:5">
      <c r="A33" s="7"/>
      <c r="B33" s="7"/>
      <c r="C33" s="40"/>
      <c r="D33" s="40"/>
      <c r="E33" s="7"/>
    </row>
    <row r="34" spans="1:5">
      <c r="A34" s="7"/>
      <c r="B34" s="7"/>
      <c r="C34" s="40"/>
      <c r="D34" s="40"/>
      <c r="E34" s="7"/>
    </row>
    <row r="35" spans="1:5">
      <c r="A35" s="7"/>
      <c r="B35" s="7"/>
      <c r="C35" s="40"/>
      <c r="D35" s="40"/>
      <c r="E35" s="7"/>
    </row>
    <row r="70" spans="6:107"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</row>
    <row r="71" spans="6:107"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</row>
    <row r="72" spans="6:107"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</row>
    <row r="73" spans="6:107"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</row>
    <row r="74" spans="6:107"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</row>
    <row r="75" spans="6:107"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</row>
    <row r="76" spans="6:107"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</row>
    <row r="77" spans="6:107"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</row>
    <row r="78" spans="6:107"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</row>
  </sheetData>
  <mergeCells count="1">
    <mergeCell ref="A2:E2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211DF533C295B4A93C909AB223F9E4A" ma:contentTypeVersion="18" ma:contentTypeDescription="Crie um novo documento." ma:contentTypeScope="" ma:versionID="75e03d6f3108cb8d7d0ddb7e636af3c1">
  <xsd:schema xmlns:xsd="http://www.w3.org/2001/XMLSchema" xmlns:xs="http://www.w3.org/2001/XMLSchema" xmlns:p="http://schemas.microsoft.com/office/2006/metadata/properties" xmlns:ns2="79ec7ac6-d869-4ae4-9e17-eebc47ce225f" xmlns:ns3="531839e5-bb07-437c-8077-644afac410d7" targetNamespace="http://schemas.microsoft.com/office/2006/metadata/properties" ma:root="true" ma:fieldsID="a013904403f5f752680b70b5b2f13d4a" ns2:_="" ns3:_="">
    <xsd:import namespace="79ec7ac6-d869-4ae4-9e17-eebc47ce225f"/>
    <xsd:import namespace="531839e5-bb07-437c-8077-644afac410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ec7ac6-d869-4ae4-9e17-eebc47ce22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0f4fdaf-c19c-4383-ab18-c7cf745a77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1839e5-bb07-437c-8077-644afac410d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0f22f8f-797b-4195-9b60-6e9c6b918edf}" ma:internalName="TaxCatchAll" ma:showField="CatchAllData" ma:web="531839e5-bb07-437c-8077-644afac410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1839e5-bb07-437c-8077-644afac410d7" xsi:nil="true"/>
    <lcf76f155ced4ddcb4097134ff3c332f xmlns="79ec7ac6-d869-4ae4-9e17-eebc47ce225f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B816DA-417C-4F2D-827D-1095F4641EBC}"/>
</file>

<file path=customXml/itemProps2.xml><?xml version="1.0" encoding="utf-8"?>
<ds:datastoreItem xmlns:ds="http://schemas.openxmlformats.org/officeDocument/2006/customXml" ds:itemID="{99F98D8D-F925-4B03-8E11-2865D7C1B9E5}"/>
</file>

<file path=customXml/itemProps3.xml><?xml version="1.0" encoding="utf-8"?>
<ds:datastoreItem xmlns:ds="http://schemas.openxmlformats.org/officeDocument/2006/customXml" ds:itemID="{32F48158-8968-40C7-866E-C083A3FF7237}"/>
</file>

<file path=customXml/itemProps4.xml><?xml version="1.0" encoding="utf-8"?>
<ds:datastoreItem xmlns:ds="http://schemas.openxmlformats.org/officeDocument/2006/customXml" ds:itemID="{55AAFCA5-751F-4D5E-A780-E177BBB76C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Daiana Folster</dc:creator>
  <cp:keywords/>
  <dc:description/>
  <cp:lastModifiedBy>Guilherme Vasconcellos Bardalho</cp:lastModifiedBy>
  <cp:revision/>
  <dcterms:created xsi:type="dcterms:W3CDTF">2022-02-26T00:29:57Z</dcterms:created>
  <dcterms:modified xsi:type="dcterms:W3CDTF">2026-08-17T18:34:01Z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0x0101008211DF533C295B4A93C909AB223F9E4A</vt:lpwstr>
  </property>
  <property fmtid="{D5CDD505-2E9C-101B-9397-08002B2CF9AE}" pid="3" name="MediaServiceImageTags">
    <vt:lpwstr/>
  </property>
</Properties>
</file>